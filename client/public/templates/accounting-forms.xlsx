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80759DEE-D122-4DBE-B475-4CAACA10851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JEV" sheetId="1" r:id="rId1"/>
    <sheet name="GL" sheetId="2" r:id="rId2"/>
    <sheet name="CRJ" sheetId="3" r:id="rId3"/>
    <sheet name="CKDJ" sheetId="4" r:id="rId4"/>
    <sheet name="CDJ" sheetId="5" r:id="rId5"/>
    <sheet name="TB" sheetId="7" r:id="rId6"/>
    <sheet name="EXAMPLE TB RECAP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1" i="7" l="1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J274" i="6"/>
  <c r="P272" i="6"/>
  <c r="N272" i="6"/>
  <c r="L272" i="6"/>
  <c r="J272" i="6"/>
  <c r="H272" i="6"/>
  <c r="P271" i="6"/>
  <c r="O271" i="6"/>
  <c r="N271" i="6"/>
  <c r="M271" i="6"/>
  <c r="L271" i="6"/>
  <c r="K271" i="6"/>
  <c r="J271" i="6"/>
  <c r="I271" i="6"/>
  <c r="H271" i="6"/>
  <c r="G271" i="6"/>
  <c r="F270" i="6"/>
  <c r="D270" i="6"/>
  <c r="C270" i="6"/>
  <c r="E270" i="6" s="1"/>
  <c r="D269" i="6"/>
  <c r="C269" i="6"/>
  <c r="E269" i="6" s="1"/>
  <c r="D268" i="6"/>
  <c r="C268" i="6"/>
  <c r="E268" i="6" s="1"/>
  <c r="E267" i="6"/>
  <c r="D267" i="6"/>
  <c r="C267" i="6"/>
  <c r="E266" i="6"/>
  <c r="D266" i="6"/>
  <c r="C266" i="6"/>
  <c r="E265" i="6"/>
  <c r="D265" i="6"/>
  <c r="C265" i="6"/>
  <c r="E264" i="6"/>
  <c r="D264" i="6"/>
  <c r="C264" i="6"/>
  <c r="E263" i="6"/>
  <c r="D263" i="6"/>
  <c r="C263" i="6"/>
  <c r="D262" i="6"/>
  <c r="C262" i="6"/>
  <c r="E262" i="6" s="1"/>
  <c r="D261" i="6"/>
  <c r="C261" i="6"/>
  <c r="E261" i="6" s="1"/>
  <c r="D260" i="6"/>
  <c r="C260" i="6"/>
  <c r="E260" i="6" s="1"/>
  <c r="E259" i="6"/>
  <c r="D259" i="6"/>
  <c r="C259" i="6"/>
  <c r="E258" i="6"/>
  <c r="D258" i="6"/>
  <c r="C258" i="6"/>
  <c r="E257" i="6"/>
  <c r="D257" i="6"/>
  <c r="C257" i="6"/>
  <c r="E256" i="6"/>
  <c r="D256" i="6"/>
  <c r="C256" i="6"/>
  <c r="E255" i="6"/>
  <c r="D255" i="6"/>
  <c r="C255" i="6"/>
  <c r="D254" i="6"/>
  <c r="C254" i="6"/>
  <c r="E254" i="6" s="1"/>
  <c r="D253" i="6"/>
  <c r="C253" i="6"/>
  <c r="E253" i="6" s="1"/>
  <c r="D252" i="6"/>
  <c r="C252" i="6"/>
  <c r="E252" i="6" s="1"/>
  <c r="E251" i="6"/>
  <c r="D251" i="6"/>
  <c r="C251" i="6"/>
  <c r="E250" i="6"/>
  <c r="D250" i="6"/>
  <c r="C250" i="6"/>
  <c r="E249" i="6"/>
  <c r="D249" i="6"/>
  <c r="C249" i="6"/>
  <c r="E248" i="6"/>
  <c r="D248" i="6"/>
  <c r="C248" i="6"/>
  <c r="E247" i="6"/>
  <c r="D247" i="6"/>
  <c r="C247" i="6"/>
  <c r="D246" i="6"/>
  <c r="C246" i="6"/>
  <c r="E246" i="6" s="1"/>
  <c r="D245" i="6"/>
  <c r="C245" i="6"/>
  <c r="E245" i="6" s="1"/>
  <c r="D244" i="6"/>
  <c r="C244" i="6"/>
  <c r="E244" i="6" s="1"/>
  <c r="E243" i="6"/>
  <c r="D243" i="6"/>
  <c r="C243" i="6"/>
  <c r="E242" i="6"/>
  <c r="D242" i="6"/>
  <c r="C242" i="6"/>
  <c r="E241" i="6"/>
  <c r="D241" i="6"/>
  <c r="C241" i="6"/>
  <c r="E240" i="6"/>
  <c r="D240" i="6"/>
  <c r="C240" i="6"/>
  <c r="E239" i="6"/>
  <c r="D239" i="6"/>
  <c r="C239" i="6"/>
  <c r="D238" i="6"/>
  <c r="C238" i="6"/>
  <c r="E238" i="6" s="1"/>
  <c r="D237" i="6"/>
  <c r="C237" i="6"/>
  <c r="E237" i="6" s="1"/>
  <c r="D236" i="6"/>
  <c r="F236" i="6" s="1"/>
  <c r="C236" i="6"/>
  <c r="E236" i="6" s="1"/>
  <c r="E235" i="6"/>
  <c r="D235" i="6"/>
  <c r="C235" i="6"/>
  <c r="E234" i="6"/>
  <c r="D234" i="6"/>
  <c r="C234" i="6"/>
  <c r="E233" i="6"/>
  <c r="D233" i="6"/>
  <c r="C233" i="6"/>
  <c r="E232" i="6"/>
  <c r="D232" i="6"/>
  <c r="C232" i="6"/>
  <c r="D231" i="6"/>
  <c r="C231" i="6"/>
  <c r="E231" i="6" s="1"/>
  <c r="D230" i="6"/>
  <c r="C230" i="6"/>
  <c r="E230" i="6" s="1"/>
  <c r="D229" i="6"/>
  <c r="C229" i="6"/>
  <c r="E229" i="6" s="1"/>
  <c r="D228" i="6"/>
  <c r="C228" i="6"/>
  <c r="E228" i="6" s="1"/>
  <c r="D227" i="6"/>
  <c r="C227" i="6"/>
  <c r="E227" i="6" s="1"/>
  <c r="E226" i="6"/>
  <c r="D226" i="6"/>
  <c r="C226" i="6"/>
  <c r="D225" i="6"/>
  <c r="C225" i="6"/>
  <c r="E225" i="6" s="1"/>
  <c r="D224" i="6"/>
  <c r="C224" i="6"/>
  <c r="E224" i="6" s="1"/>
  <c r="D223" i="6"/>
  <c r="C223" i="6"/>
  <c r="E223" i="6" s="1"/>
  <c r="D222" i="6"/>
  <c r="C222" i="6"/>
  <c r="E222" i="6" s="1"/>
  <c r="D221" i="6"/>
  <c r="C221" i="6"/>
  <c r="E221" i="6" s="1"/>
  <c r="D220" i="6"/>
  <c r="C220" i="6"/>
  <c r="E220" i="6" s="1"/>
  <c r="D219" i="6"/>
  <c r="C219" i="6"/>
  <c r="E219" i="6" s="1"/>
  <c r="E218" i="6"/>
  <c r="D218" i="6"/>
  <c r="C218" i="6"/>
  <c r="D217" i="6"/>
  <c r="C217" i="6"/>
  <c r="E217" i="6" s="1"/>
  <c r="D216" i="6"/>
  <c r="C216" i="6"/>
  <c r="E216" i="6" s="1"/>
  <c r="D215" i="6"/>
  <c r="C215" i="6"/>
  <c r="E215" i="6" s="1"/>
  <c r="D214" i="6"/>
  <c r="C214" i="6"/>
  <c r="E214" i="6" s="1"/>
  <c r="D213" i="6"/>
  <c r="C213" i="6"/>
  <c r="E213" i="6" s="1"/>
  <c r="D212" i="6"/>
  <c r="C212" i="6"/>
  <c r="E212" i="6" s="1"/>
  <c r="D211" i="6"/>
  <c r="C211" i="6"/>
  <c r="E211" i="6" s="1"/>
  <c r="E210" i="6"/>
  <c r="D210" i="6"/>
  <c r="C210" i="6"/>
  <c r="D209" i="6"/>
  <c r="C209" i="6"/>
  <c r="E209" i="6" s="1"/>
  <c r="D208" i="6"/>
  <c r="C208" i="6"/>
  <c r="E208" i="6" s="1"/>
  <c r="D207" i="6"/>
  <c r="C207" i="6"/>
  <c r="E207" i="6" s="1"/>
  <c r="D206" i="6"/>
  <c r="C206" i="6"/>
  <c r="E206" i="6" s="1"/>
  <c r="D205" i="6"/>
  <c r="C205" i="6"/>
  <c r="E205" i="6" s="1"/>
  <c r="D204" i="6"/>
  <c r="C204" i="6"/>
  <c r="E204" i="6" s="1"/>
  <c r="D203" i="6"/>
  <c r="C203" i="6"/>
  <c r="E203" i="6" s="1"/>
  <c r="E202" i="6"/>
  <c r="D202" i="6"/>
  <c r="C202" i="6"/>
  <c r="D201" i="6"/>
  <c r="C201" i="6"/>
  <c r="E201" i="6" s="1"/>
  <c r="D200" i="6"/>
  <c r="C200" i="6"/>
  <c r="E200" i="6" s="1"/>
  <c r="D199" i="6"/>
  <c r="C199" i="6"/>
  <c r="E199" i="6" s="1"/>
  <c r="D198" i="6"/>
  <c r="C198" i="6"/>
  <c r="E198" i="6" s="1"/>
  <c r="D197" i="6"/>
  <c r="C197" i="6"/>
  <c r="E197" i="6" s="1"/>
  <c r="D196" i="6"/>
  <c r="C196" i="6"/>
  <c r="E196" i="6" s="1"/>
  <c r="D195" i="6"/>
  <c r="C195" i="6"/>
  <c r="E195" i="6" s="1"/>
  <c r="E194" i="6"/>
  <c r="D194" i="6"/>
  <c r="C194" i="6"/>
  <c r="D193" i="6"/>
  <c r="C193" i="6"/>
  <c r="E193" i="6" s="1"/>
  <c r="D192" i="6"/>
  <c r="C192" i="6"/>
  <c r="E192" i="6" s="1"/>
  <c r="D191" i="6"/>
  <c r="C191" i="6"/>
  <c r="E191" i="6" s="1"/>
  <c r="D190" i="6"/>
  <c r="C190" i="6"/>
  <c r="E190" i="6" s="1"/>
  <c r="D189" i="6"/>
  <c r="C189" i="6"/>
  <c r="E189" i="6" s="1"/>
  <c r="D188" i="6"/>
  <c r="C188" i="6"/>
  <c r="E188" i="6" s="1"/>
  <c r="D187" i="6"/>
  <c r="C187" i="6"/>
  <c r="E187" i="6" s="1"/>
  <c r="E186" i="6"/>
  <c r="D186" i="6"/>
  <c r="C186" i="6"/>
  <c r="D185" i="6"/>
  <c r="C185" i="6"/>
  <c r="F185" i="6" s="1"/>
  <c r="D184" i="6"/>
  <c r="C184" i="6"/>
  <c r="F184" i="6" s="1"/>
  <c r="D183" i="6"/>
  <c r="F183" i="6" s="1"/>
  <c r="C183" i="6"/>
  <c r="D182" i="6"/>
  <c r="F182" i="6" s="1"/>
  <c r="C182" i="6"/>
  <c r="D181" i="6"/>
  <c r="F181" i="6" s="1"/>
  <c r="C181" i="6"/>
  <c r="E181" i="6" s="1"/>
  <c r="D180" i="6"/>
  <c r="F180" i="6" s="1"/>
  <c r="C180" i="6"/>
  <c r="F179" i="6"/>
  <c r="D179" i="6"/>
  <c r="C179" i="6"/>
  <c r="F178" i="6"/>
  <c r="D178" i="6"/>
  <c r="C178" i="6"/>
  <c r="F177" i="6"/>
  <c r="D177" i="6"/>
  <c r="C177" i="6"/>
  <c r="F176" i="6"/>
  <c r="D176" i="6"/>
  <c r="C176" i="6"/>
  <c r="D175" i="6"/>
  <c r="F175" i="6" s="1"/>
  <c r="C175" i="6"/>
  <c r="D174" i="6"/>
  <c r="F174" i="6" s="1"/>
  <c r="C174" i="6"/>
  <c r="D173" i="6"/>
  <c r="F173" i="6" s="1"/>
  <c r="C173" i="6"/>
  <c r="D172" i="6"/>
  <c r="F172" i="6" s="1"/>
  <c r="C172" i="6"/>
  <c r="D171" i="6"/>
  <c r="F171" i="6" s="1"/>
  <c r="C171" i="6"/>
  <c r="F170" i="6"/>
  <c r="D170" i="6"/>
  <c r="C170" i="6"/>
  <c r="D169" i="6"/>
  <c r="F169" i="6" s="1"/>
  <c r="C169" i="6"/>
  <c r="D168" i="6"/>
  <c r="F168" i="6" s="1"/>
  <c r="C168" i="6"/>
  <c r="D167" i="6"/>
  <c r="F167" i="6" s="1"/>
  <c r="C167" i="6"/>
  <c r="D166" i="6"/>
  <c r="F166" i="6" s="1"/>
  <c r="C166" i="6"/>
  <c r="D165" i="6"/>
  <c r="F165" i="6" s="1"/>
  <c r="C165" i="6"/>
  <c r="D164" i="6"/>
  <c r="F164" i="6" s="1"/>
  <c r="C164" i="6"/>
  <c r="D163" i="6"/>
  <c r="F163" i="6" s="1"/>
  <c r="C163" i="6"/>
  <c r="F162" i="6"/>
  <c r="D162" i="6"/>
  <c r="C162" i="6"/>
  <c r="D161" i="6"/>
  <c r="F161" i="6" s="1"/>
  <c r="C161" i="6"/>
  <c r="D160" i="6"/>
  <c r="F160" i="6" s="1"/>
  <c r="C160" i="6"/>
  <c r="D159" i="6"/>
  <c r="F159" i="6" s="1"/>
  <c r="C159" i="6"/>
  <c r="D158" i="6"/>
  <c r="F158" i="6" s="1"/>
  <c r="C158" i="6"/>
  <c r="D157" i="6"/>
  <c r="F157" i="6" s="1"/>
  <c r="C157" i="6"/>
  <c r="D156" i="6"/>
  <c r="F156" i="6" s="1"/>
  <c r="C156" i="6"/>
  <c r="D155" i="6"/>
  <c r="F155" i="6" s="1"/>
  <c r="C155" i="6"/>
  <c r="F154" i="6"/>
  <c r="D154" i="6"/>
  <c r="C154" i="6"/>
  <c r="D153" i="6"/>
  <c r="F153" i="6" s="1"/>
  <c r="C153" i="6"/>
  <c r="D152" i="6"/>
  <c r="F152" i="6" s="1"/>
  <c r="C152" i="6"/>
  <c r="D151" i="6"/>
  <c r="F151" i="6" s="1"/>
  <c r="C151" i="6"/>
  <c r="D150" i="6"/>
  <c r="F150" i="6" s="1"/>
  <c r="C150" i="6"/>
  <c r="D149" i="6"/>
  <c r="F149" i="6" s="1"/>
  <c r="C149" i="6"/>
  <c r="D148" i="6"/>
  <c r="F148" i="6" s="1"/>
  <c r="C148" i="6"/>
  <c r="D147" i="6"/>
  <c r="E147" i="6" s="1"/>
  <c r="C147" i="6"/>
  <c r="F146" i="6"/>
  <c r="D146" i="6"/>
  <c r="C146" i="6"/>
  <c r="D145" i="6"/>
  <c r="F145" i="6" s="1"/>
  <c r="C145" i="6"/>
  <c r="D144" i="6"/>
  <c r="F144" i="6" s="1"/>
  <c r="C144" i="6"/>
  <c r="D143" i="6"/>
  <c r="C143" i="6"/>
  <c r="E143" i="6" s="1"/>
  <c r="D142" i="6"/>
  <c r="F142" i="6" s="1"/>
  <c r="C142" i="6"/>
  <c r="D141" i="6"/>
  <c r="F141" i="6" s="1"/>
  <c r="C141" i="6"/>
  <c r="D140" i="6"/>
  <c r="F140" i="6" s="1"/>
  <c r="C140" i="6"/>
  <c r="D139" i="6"/>
  <c r="F139" i="6" s="1"/>
  <c r="C139" i="6"/>
  <c r="F138" i="6"/>
  <c r="D138" i="6"/>
  <c r="C138" i="6"/>
  <c r="D137" i="6"/>
  <c r="F137" i="6" s="1"/>
  <c r="C137" i="6"/>
  <c r="D136" i="6"/>
  <c r="F136" i="6" s="1"/>
  <c r="C136" i="6"/>
  <c r="D135" i="6"/>
  <c r="F135" i="6" s="1"/>
  <c r="C135" i="6"/>
  <c r="D134" i="6"/>
  <c r="F134" i="6" s="1"/>
  <c r="C134" i="6"/>
  <c r="D133" i="6"/>
  <c r="F133" i="6" s="1"/>
  <c r="C133" i="6"/>
  <c r="D132" i="6"/>
  <c r="F132" i="6" s="1"/>
  <c r="C132" i="6"/>
  <c r="D131" i="6"/>
  <c r="F131" i="6" s="1"/>
  <c r="C131" i="6"/>
  <c r="F130" i="6"/>
  <c r="D130" i="6"/>
  <c r="C130" i="6"/>
  <c r="D129" i="6"/>
  <c r="F129" i="6" s="1"/>
  <c r="C129" i="6"/>
  <c r="D128" i="6"/>
  <c r="F128" i="6" s="1"/>
  <c r="C128" i="6"/>
  <c r="D127" i="6"/>
  <c r="F127" i="6" s="1"/>
  <c r="C127" i="6"/>
  <c r="D126" i="6"/>
  <c r="F126" i="6" s="1"/>
  <c r="C126" i="6"/>
  <c r="D125" i="6"/>
  <c r="C125" i="6"/>
  <c r="E125" i="6" s="1"/>
  <c r="D124" i="6"/>
  <c r="C124" i="6"/>
  <c r="E124" i="6" s="1"/>
  <c r="D123" i="6"/>
  <c r="E123" i="6" s="1"/>
  <c r="C123" i="6"/>
  <c r="F122" i="6"/>
  <c r="D122" i="6"/>
  <c r="C122" i="6"/>
  <c r="D121" i="6"/>
  <c r="C121" i="6"/>
  <c r="E121" i="6" s="1"/>
  <c r="D120" i="6"/>
  <c r="E120" i="6" s="1"/>
  <c r="C120" i="6"/>
  <c r="D119" i="6"/>
  <c r="C119" i="6"/>
  <c r="E119" i="6" s="1"/>
  <c r="D118" i="6"/>
  <c r="C118" i="6"/>
  <c r="E118" i="6" s="1"/>
  <c r="D117" i="6"/>
  <c r="F117" i="6" s="1"/>
  <c r="C117" i="6"/>
  <c r="D116" i="6"/>
  <c r="C116" i="6"/>
  <c r="E116" i="6" s="1"/>
  <c r="D115" i="6"/>
  <c r="F115" i="6" s="1"/>
  <c r="C115" i="6"/>
  <c r="D114" i="6"/>
  <c r="C114" i="6"/>
  <c r="E114" i="6" s="1"/>
  <c r="D113" i="6"/>
  <c r="F113" i="6" s="1"/>
  <c r="C113" i="6"/>
  <c r="D112" i="6"/>
  <c r="E112" i="6" s="1"/>
  <c r="C112" i="6"/>
  <c r="D111" i="6"/>
  <c r="F111" i="6" s="1"/>
  <c r="C111" i="6"/>
  <c r="D110" i="6"/>
  <c r="C110" i="6"/>
  <c r="E110" i="6" s="1"/>
  <c r="D109" i="6"/>
  <c r="F109" i="6" s="1"/>
  <c r="C109" i="6"/>
  <c r="D108" i="6"/>
  <c r="C108" i="6"/>
  <c r="E108" i="6" s="1"/>
  <c r="D107" i="6"/>
  <c r="F107" i="6" s="1"/>
  <c r="C107" i="6"/>
  <c r="D106" i="6"/>
  <c r="C106" i="6"/>
  <c r="E106" i="6" s="1"/>
  <c r="D105" i="6"/>
  <c r="F105" i="6" s="1"/>
  <c r="C105" i="6"/>
  <c r="D104" i="6"/>
  <c r="E104" i="6" s="1"/>
  <c r="C104" i="6"/>
  <c r="D103" i="6"/>
  <c r="F103" i="6" s="1"/>
  <c r="C103" i="6"/>
  <c r="D102" i="6"/>
  <c r="C102" i="6"/>
  <c r="E102" i="6" s="1"/>
  <c r="D101" i="6"/>
  <c r="F101" i="6" s="1"/>
  <c r="C101" i="6"/>
  <c r="D100" i="6"/>
  <c r="C100" i="6"/>
  <c r="E100" i="6" s="1"/>
  <c r="F99" i="6"/>
  <c r="D99" i="6"/>
  <c r="C99" i="6"/>
  <c r="D98" i="6"/>
  <c r="C98" i="6"/>
  <c r="E98" i="6" s="1"/>
  <c r="D97" i="6"/>
  <c r="F97" i="6" s="1"/>
  <c r="C97" i="6"/>
  <c r="D96" i="6"/>
  <c r="E96" i="6" s="1"/>
  <c r="C96" i="6"/>
  <c r="D95" i="6"/>
  <c r="F95" i="6" s="1"/>
  <c r="C95" i="6"/>
  <c r="D94" i="6"/>
  <c r="C94" i="6"/>
  <c r="E94" i="6" s="1"/>
  <c r="D93" i="6"/>
  <c r="F93" i="6" s="1"/>
  <c r="C93" i="6"/>
  <c r="D92" i="6"/>
  <c r="C92" i="6"/>
  <c r="E92" i="6" s="1"/>
  <c r="D91" i="6"/>
  <c r="F91" i="6" s="1"/>
  <c r="C91" i="6"/>
  <c r="D90" i="6"/>
  <c r="C90" i="6"/>
  <c r="E90" i="6" s="1"/>
  <c r="D89" i="6"/>
  <c r="F89" i="6" s="1"/>
  <c r="C89" i="6"/>
  <c r="D88" i="6"/>
  <c r="E88" i="6" s="1"/>
  <c r="C88" i="6"/>
  <c r="D87" i="6"/>
  <c r="F87" i="6" s="1"/>
  <c r="C87" i="6"/>
  <c r="D86" i="6"/>
  <c r="C86" i="6"/>
  <c r="E86" i="6" s="1"/>
  <c r="D85" i="6"/>
  <c r="F85" i="6" s="1"/>
  <c r="C85" i="6"/>
  <c r="D84" i="6"/>
  <c r="C84" i="6"/>
  <c r="E84" i="6" s="1"/>
  <c r="D83" i="6"/>
  <c r="F83" i="6" s="1"/>
  <c r="C83" i="6"/>
  <c r="D82" i="6"/>
  <c r="C82" i="6"/>
  <c r="E82" i="6" s="1"/>
  <c r="D81" i="6"/>
  <c r="F81" i="6" s="1"/>
  <c r="C81" i="6"/>
  <c r="D80" i="6"/>
  <c r="E80" i="6" s="1"/>
  <c r="C80" i="6"/>
  <c r="D79" i="6"/>
  <c r="F79" i="6" s="1"/>
  <c r="C79" i="6"/>
  <c r="D78" i="6"/>
  <c r="C78" i="6"/>
  <c r="E78" i="6" s="1"/>
  <c r="D77" i="6"/>
  <c r="F77" i="6" s="1"/>
  <c r="C77" i="6"/>
  <c r="D76" i="6"/>
  <c r="C76" i="6"/>
  <c r="E76" i="6" s="1"/>
  <c r="D75" i="6"/>
  <c r="F75" i="6" s="1"/>
  <c r="C75" i="6"/>
  <c r="D74" i="6"/>
  <c r="C74" i="6"/>
  <c r="E74" i="6" s="1"/>
  <c r="D73" i="6"/>
  <c r="F73" i="6" s="1"/>
  <c r="C73" i="6"/>
  <c r="D72" i="6"/>
  <c r="E72" i="6" s="1"/>
  <c r="C72" i="6"/>
  <c r="D71" i="6"/>
  <c r="F71" i="6" s="1"/>
  <c r="C71" i="6"/>
  <c r="D70" i="6"/>
  <c r="C70" i="6"/>
  <c r="E70" i="6" s="1"/>
  <c r="D69" i="6"/>
  <c r="F69" i="6" s="1"/>
  <c r="C69" i="6"/>
  <c r="D68" i="6"/>
  <c r="C68" i="6"/>
  <c r="E68" i="6" s="1"/>
  <c r="D67" i="6"/>
  <c r="F67" i="6" s="1"/>
  <c r="C67" i="6"/>
  <c r="D66" i="6"/>
  <c r="C66" i="6"/>
  <c r="E66" i="6" s="1"/>
  <c r="D65" i="6"/>
  <c r="F65" i="6" s="1"/>
  <c r="C65" i="6"/>
  <c r="D64" i="6"/>
  <c r="E64" i="6" s="1"/>
  <c r="C64" i="6"/>
  <c r="D63" i="6"/>
  <c r="F63" i="6" s="1"/>
  <c r="C63" i="6"/>
  <c r="D62" i="6"/>
  <c r="C62" i="6"/>
  <c r="E62" i="6" s="1"/>
  <c r="D61" i="6"/>
  <c r="F61" i="6" s="1"/>
  <c r="C61" i="6"/>
  <c r="D60" i="6"/>
  <c r="C60" i="6"/>
  <c r="E60" i="6" s="1"/>
  <c r="D59" i="6"/>
  <c r="F59" i="6" s="1"/>
  <c r="C59" i="6"/>
  <c r="D58" i="6"/>
  <c r="C58" i="6"/>
  <c r="E58" i="6" s="1"/>
  <c r="D57" i="6"/>
  <c r="F57" i="6" s="1"/>
  <c r="C57" i="6"/>
  <c r="D56" i="6"/>
  <c r="E56" i="6" s="1"/>
  <c r="C56" i="6"/>
  <c r="D55" i="6"/>
  <c r="F55" i="6" s="1"/>
  <c r="C55" i="6"/>
  <c r="D54" i="6"/>
  <c r="C54" i="6"/>
  <c r="E54" i="6" s="1"/>
  <c r="D53" i="6"/>
  <c r="C53" i="6"/>
  <c r="E53" i="6" s="1"/>
  <c r="D52" i="6"/>
  <c r="C52" i="6"/>
  <c r="E52" i="6" s="1"/>
  <c r="D51" i="6"/>
  <c r="E51" i="6" s="1"/>
  <c r="C51" i="6"/>
  <c r="D50" i="6"/>
  <c r="C50" i="6"/>
  <c r="E50" i="6" s="1"/>
  <c r="D49" i="6"/>
  <c r="C49" i="6"/>
  <c r="E49" i="6" s="1"/>
  <c r="D48" i="6"/>
  <c r="E48" i="6" s="1"/>
  <c r="C48" i="6"/>
  <c r="D47" i="6"/>
  <c r="C47" i="6"/>
  <c r="E47" i="6" s="1"/>
  <c r="D46" i="6"/>
  <c r="C46" i="6"/>
  <c r="E46" i="6" s="1"/>
  <c r="D45" i="6"/>
  <c r="C45" i="6"/>
  <c r="E45" i="6" s="1"/>
  <c r="D44" i="6"/>
  <c r="C44" i="6"/>
  <c r="E44" i="6" s="1"/>
  <c r="D43" i="6"/>
  <c r="C43" i="6"/>
  <c r="D42" i="6"/>
  <c r="E42" i="6" s="1"/>
  <c r="C42" i="6"/>
  <c r="D41" i="6"/>
  <c r="C41" i="6"/>
  <c r="E41" i="6" s="1"/>
  <c r="D40" i="6"/>
  <c r="C40" i="6"/>
  <c r="E40" i="6" s="1"/>
  <c r="D39" i="6"/>
  <c r="C39" i="6"/>
  <c r="E39" i="6" s="1"/>
  <c r="D38" i="6"/>
  <c r="C38" i="6"/>
  <c r="E38" i="6" s="1"/>
  <c r="D37" i="6"/>
  <c r="C37" i="6"/>
  <c r="E37" i="6" s="1"/>
  <c r="D36" i="6"/>
  <c r="C36" i="6"/>
  <c r="E36" i="6" s="1"/>
  <c r="D35" i="6"/>
  <c r="C35" i="6"/>
  <c r="E35" i="6" s="1"/>
  <c r="D34" i="6"/>
  <c r="E34" i="6" s="1"/>
  <c r="C34" i="6"/>
  <c r="D33" i="6"/>
  <c r="C33" i="6"/>
  <c r="E33" i="6" s="1"/>
  <c r="D32" i="6"/>
  <c r="C32" i="6"/>
  <c r="E32" i="6" s="1"/>
  <c r="D31" i="6"/>
  <c r="C31" i="6"/>
  <c r="E31" i="6" s="1"/>
  <c r="D30" i="6"/>
  <c r="C30" i="6"/>
  <c r="E30" i="6" s="1"/>
  <c r="D29" i="6"/>
  <c r="C29" i="6"/>
  <c r="E29" i="6" s="1"/>
  <c r="D28" i="6"/>
  <c r="C28" i="6"/>
  <c r="E28" i="6" s="1"/>
  <c r="D27" i="6"/>
  <c r="C27" i="6"/>
  <c r="E27" i="6" s="1"/>
  <c r="D26" i="6"/>
  <c r="E26" i="6" s="1"/>
  <c r="C26" i="6"/>
  <c r="D25" i="6"/>
  <c r="C25" i="6"/>
  <c r="E25" i="6" s="1"/>
  <c r="D24" i="6"/>
  <c r="E24" i="6" s="1"/>
  <c r="C24" i="6"/>
  <c r="D23" i="6"/>
  <c r="C23" i="6"/>
  <c r="E23" i="6" s="1"/>
  <c r="D22" i="6"/>
  <c r="C22" i="6"/>
  <c r="E22" i="6" s="1"/>
  <c r="D21" i="6"/>
  <c r="C21" i="6"/>
  <c r="E21" i="6" s="1"/>
  <c r="D20" i="6"/>
  <c r="C20" i="6"/>
  <c r="E20" i="6" s="1"/>
  <c r="D19" i="6"/>
  <c r="F19" i="6" s="1"/>
  <c r="C19" i="6"/>
  <c r="D18" i="6"/>
  <c r="C18" i="6"/>
  <c r="E18" i="6" s="1"/>
  <c r="D17" i="6"/>
  <c r="C17" i="6"/>
  <c r="E17" i="6" s="1"/>
  <c r="D16" i="6"/>
  <c r="E16" i="6" s="1"/>
  <c r="C16" i="6"/>
  <c r="D15" i="6"/>
  <c r="F15" i="6" s="1"/>
  <c r="C15" i="6"/>
  <c r="D14" i="6"/>
  <c r="C14" i="6"/>
  <c r="E14" i="6" s="1"/>
  <c r="D13" i="6"/>
  <c r="C13" i="6"/>
  <c r="E13" i="6" s="1"/>
  <c r="D12" i="6"/>
  <c r="C12" i="6"/>
  <c r="E12" i="6" s="1"/>
  <c r="D11" i="6"/>
  <c r="E11" i="6" s="1"/>
  <c r="C11" i="6"/>
  <c r="D10" i="6"/>
  <c r="C10" i="6"/>
  <c r="E10" i="6" s="1"/>
  <c r="D9" i="6"/>
  <c r="C9" i="6"/>
  <c r="E9" i="6" s="1"/>
  <c r="D8" i="6"/>
  <c r="E8" i="6" s="1"/>
  <c r="C8" i="6"/>
  <c r="D7" i="6"/>
  <c r="D271" i="6" s="1"/>
  <c r="C7" i="6"/>
  <c r="C271" i="6" s="1"/>
  <c r="D272" i="6" s="1"/>
  <c r="E272" i="7" l="1"/>
  <c r="F272" i="7"/>
  <c r="C272" i="7"/>
  <c r="D272" i="7"/>
  <c r="F271" i="6"/>
  <c r="F24" i="6"/>
  <c r="E7" i="6"/>
  <c r="E271" i="6" s="1"/>
  <c r="D273" i="7" l="1"/>
  <c r="F273" i="7"/>
  <c r="F272" i="6"/>
</calcChain>
</file>

<file path=xl/sharedStrings.xml><?xml version="1.0" encoding="utf-8"?>
<sst xmlns="http://schemas.openxmlformats.org/spreadsheetml/2006/main" count="1213" uniqueCount="613">
  <si>
    <t xml:space="preserve"> Annex 23</t>
  </si>
  <si>
    <t xml:space="preserve">  JOURNAL ENTRY VOUCHER</t>
  </si>
  <si>
    <t xml:space="preserve"> No.</t>
  </si>
  <si>
    <t xml:space="preserve">    </t>
  </si>
  <si>
    <t xml:space="preserve"> </t>
  </si>
  <si>
    <t>LGU</t>
  </si>
  <si>
    <t xml:space="preserve"> Date:</t>
  </si>
  <si>
    <t xml:space="preserve">            Collection               Check Disbursement                Cash Disbursement                  Others             </t>
  </si>
  <si>
    <t>Responsibility Center</t>
  </si>
  <si>
    <t>ACCOUNTING ENTRIES</t>
  </si>
  <si>
    <t>Accounts and Explanation</t>
  </si>
  <si>
    <t>Account Code</t>
  </si>
  <si>
    <t>Ref.</t>
  </si>
  <si>
    <t>A  m  o  u  n  t</t>
  </si>
  <si>
    <t>Debit</t>
  </si>
  <si>
    <t>Credit</t>
  </si>
  <si>
    <t xml:space="preserve">  Prepared by:</t>
  </si>
  <si>
    <t xml:space="preserve">  Approved by:</t>
  </si>
  <si>
    <t>Accounting Staff</t>
  </si>
  <si>
    <t>Municipal Accountant</t>
  </si>
  <si>
    <t>Annex 1</t>
  </si>
  <si>
    <t>GENERAL JOURNAL</t>
  </si>
  <si>
    <t>Month: ________________, 20___</t>
  </si>
  <si>
    <t xml:space="preserve">  Fund: ____________________</t>
  </si>
  <si>
    <t>Sheet No. : ________</t>
  </si>
  <si>
    <t>Date</t>
  </si>
  <si>
    <t>JEV</t>
  </si>
  <si>
    <t>Particulars</t>
  </si>
  <si>
    <t>Account</t>
  </si>
  <si>
    <t>P</t>
  </si>
  <si>
    <t>A m o u n t</t>
  </si>
  <si>
    <t>No.</t>
  </si>
  <si>
    <t>Code</t>
  </si>
  <si>
    <t>Certified Correct:</t>
  </si>
  <si>
    <t>Annex 2</t>
  </si>
  <si>
    <t xml:space="preserve">                                      CASH  RECEIPTS  JOURNAL                                 </t>
  </si>
  <si>
    <t>Month: ___________, 20___</t>
  </si>
  <si>
    <t>C O L L E C T I O N S</t>
  </si>
  <si>
    <t>D E P O S I T S</t>
  </si>
  <si>
    <t>DEBIT</t>
  </si>
  <si>
    <t>C  R  E  D  I  T</t>
  </si>
  <si>
    <t>D E B I T</t>
  </si>
  <si>
    <t>CREDIT</t>
  </si>
  <si>
    <t>RCD No.</t>
  </si>
  <si>
    <t>JEV No.</t>
  </si>
  <si>
    <t>Name of Collecting Officer</t>
  </si>
  <si>
    <t>Sundry</t>
  </si>
  <si>
    <t>Acct. Code</t>
  </si>
  <si>
    <t>Certified correct:</t>
  </si>
  <si>
    <t>Signature</t>
  </si>
  <si>
    <t xml:space="preserve"> Annex 3</t>
  </si>
  <si>
    <t xml:space="preserve">                   CHECK  DISBURSEMENTS  JOURNAL              </t>
  </si>
  <si>
    <t>Month: ______________, 20___</t>
  </si>
  <si>
    <t>Sheet No.:</t>
  </si>
  <si>
    <t xml:space="preserve"> Fund:</t>
  </si>
  <si>
    <t xml:space="preserve">Bank Name/Account No.  </t>
  </si>
  <si>
    <t>RCI/</t>
  </si>
  <si>
    <t>C R E D I T</t>
  </si>
  <si>
    <t>DATE</t>
  </si>
  <si>
    <t>Check</t>
  </si>
  <si>
    <t>P a y e e</t>
  </si>
  <si>
    <t>p</t>
  </si>
  <si>
    <t>Amount</t>
  </si>
  <si>
    <t xml:space="preserve"> Annex 4</t>
  </si>
  <si>
    <t xml:space="preserve">                    CASH  DISBURSEMENTS  JOURNAL              </t>
  </si>
  <si>
    <t>Month: __________, 20__</t>
  </si>
  <si>
    <t>Fund:</t>
  </si>
  <si>
    <t>Ref./</t>
  </si>
  <si>
    <t>RD</t>
  </si>
  <si>
    <t>Accountable Officer</t>
  </si>
  <si>
    <t>Sjgnature</t>
  </si>
  <si>
    <t>Municipality of Gasan</t>
  </si>
  <si>
    <t>TRIAL BALANCE</t>
  </si>
  <si>
    <t>GENERAL FUND</t>
  </si>
  <si>
    <t>Account Title</t>
  </si>
  <si>
    <t>Account No.</t>
  </si>
  <si>
    <t>General Journal</t>
  </si>
  <si>
    <t>Cash Disbursement</t>
  </si>
  <si>
    <t>Check Disbursement</t>
  </si>
  <si>
    <t>Cash Receipts</t>
  </si>
  <si>
    <t>Debit Balance</t>
  </si>
  <si>
    <t>Credit Balance</t>
  </si>
  <si>
    <t>DR</t>
  </si>
  <si>
    <t>CR</t>
  </si>
  <si>
    <t>Cash - Local Treasury</t>
  </si>
  <si>
    <t>1-01-01-010</t>
  </si>
  <si>
    <t>Cash in Bank -Local Currency, Current Account</t>
  </si>
  <si>
    <t>1-01-02-010</t>
  </si>
  <si>
    <t>Cash in Bank -Local Currency, Time Deposits</t>
  </si>
  <si>
    <t>1-02-01-010</t>
  </si>
  <si>
    <t>Guaranty Deposits</t>
  </si>
  <si>
    <t>1-02-05-020</t>
  </si>
  <si>
    <t>Accounts Receivable</t>
  </si>
  <si>
    <t>1-03-01-010</t>
  </si>
  <si>
    <t>Real Property Tax Receivable</t>
  </si>
  <si>
    <t>1-03-01-020</t>
  </si>
  <si>
    <t>Operating Leased Receivable</t>
  </si>
  <si>
    <t>1-03-02-010</t>
  </si>
  <si>
    <t>Loans Receivable - Others</t>
  </si>
  <si>
    <t>1-03-01-990</t>
  </si>
  <si>
    <t>Allowance for Impairment Loss-Loans Recevables</t>
  </si>
  <si>
    <t>1-03-01-991</t>
  </si>
  <si>
    <t>Due from Local Government Units</t>
  </si>
  <si>
    <t>1-03-03-030</t>
  </si>
  <si>
    <t>Due from Other Funds</t>
  </si>
  <si>
    <t>1-03-04-050</t>
  </si>
  <si>
    <t>Due from LEE -(KAPEC &amp; GRC)</t>
  </si>
  <si>
    <t>1-03-04-070</t>
  </si>
  <si>
    <t>Advances for Payroll</t>
  </si>
  <si>
    <t>1-03-05-020</t>
  </si>
  <si>
    <t>Advances to Special Disbursing Officer</t>
  </si>
  <si>
    <t>1-03-05-030</t>
  </si>
  <si>
    <t>Advances to Officers and Employees</t>
  </si>
  <si>
    <t>1-03-05-040</t>
  </si>
  <si>
    <t>Receivables - Disallowance/Charges</t>
  </si>
  <si>
    <t>1-03-06-010</t>
  </si>
  <si>
    <t>Due from Officers and Employees</t>
  </si>
  <si>
    <t>1-03-06-020</t>
  </si>
  <si>
    <t>Food Supplies for Distribution</t>
  </si>
  <si>
    <t>1-04-02-010</t>
  </si>
  <si>
    <t>Welfare Goods for Distribution</t>
  </si>
  <si>
    <t>1-04-02-020</t>
  </si>
  <si>
    <t>Drugs and Medicines for Distribution</t>
  </si>
  <si>
    <t>1-04-02-030</t>
  </si>
  <si>
    <t>Medical, Dental and Laboratory Suppplies for Distribution</t>
  </si>
  <si>
    <t>1-04-02-040</t>
  </si>
  <si>
    <t>Agricultural and Marine Supplies for Distribution</t>
  </si>
  <si>
    <t>1-04-02-050</t>
  </si>
  <si>
    <t>Property and Equipment for Distribution</t>
  </si>
  <si>
    <t>1-04-02-090</t>
  </si>
  <si>
    <t>Other Supplies and Materials for Distribution</t>
  </si>
  <si>
    <t>1-04-02-990</t>
  </si>
  <si>
    <t>Office Supplies Inventory</t>
  </si>
  <si>
    <t>1-04-04-010</t>
  </si>
  <si>
    <t>Accountable Forms, Plates and Stickers</t>
  </si>
  <si>
    <t>1-04-04-020</t>
  </si>
  <si>
    <t>Non-Accountable Forms Inventory</t>
  </si>
  <si>
    <t>1-04-04-030</t>
  </si>
  <si>
    <t>Food Supplies Inventory</t>
  </si>
  <si>
    <t>1-04-04-050</t>
  </si>
  <si>
    <t>Drugs and Medicines Inventory</t>
  </si>
  <si>
    <t>1-04-04-060</t>
  </si>
  <si>
    <t>Medical, Dental and Laboratory Supplies Inventory</t>
  </si>
  <si>
    <t>1-04-04-070</t>
  </si>
  <si>
    <t>Fuel, Oil and Lubricants Inventory</t>
  </si>
  <si>
    <t>1-04-04-080</t>
  </si>
  <si>
    <t>Agricultural and Marine Supplies Inventory</t>
  </si>
  <si>
    <t>1-04-04-090</t>
  </si>
  <si>
    <t>Construction Material Inventory</t>
  </si>
  <si>
    <t>1-04-04-130</t>
  </si>
  <si>
    <t>Other Supplies and Materials Inventory</t>
  </si>
  <si>
    <t>1-04-04-990</t>
  </si>
  <si>
    <t>Semi-Expandable- Office Equipment</t>
  </si>
  <si>
    <t>1-04-05-020</t>
  </si>
  <si>
    <t>Semi-Expandable- ICTE</t>
  </si>
  <si>
    <t>1-04-05-030</t>
  </si>
  <si>
    <t>Semi-Expandable- Disaster Response and rescue Equipment</t>
  </si>
  <si>
    <t>1-04-05-080</t>
  </si>
  <si>
    <t>Semi-Expandable- Military, Police and Security Equipment</t>
  </si>
  <si>
    <t>1-04-05-090</t>
  </si>
  <si>
    <t>Semi-Expandable- Other Machinery &amp; Equipment</t>
  </si>
  <si>
    <t>1-04-05-990</t>
  </si>
  <si>
    <t>Semi-Expandable- Furnitures &amp; Fixtures</t>
  </si>
  <si>
    <t>1-04-06-010</t>
  </si>
  <si>
    <t>Advances to Contractors</t>
  </si>
  <si>
    <t>1-05-01-010</t>
  </si>
  <si>
    <t>Prepaid Registration</t>
  </si>
  <si>
    <t>1-05-01-030</t>
  </si>
  <si>
    <t>Prepaid Insurance</t>
  </si>
  <si>
    <t>1-05-01-050</t>
  </si>
  <si>
    <t>Other Prepayments</t>
  </si>
  <si>
    <t>1-05-01-990</t>
  </si>
  <si>
    <t>Discount on Advance Payments</t>
  </si>
  <si>
    <t>1-05-02-010</t>
  </si>
  <si>
    <t>Land</t>
  </si>
  <si>
    <t>1-06-01-010</t>
  </si>
  <si>
    <t>Construction in Progress - Investment Property, Buildings</t>
  </si>
  <si>
    <t>1-06-01-030</t>
  </si>
  <si>
    <t>Other Land Improvements</t>
  </si>
  <si>
    <t>1-07-02-990</t>
  </si>
  <si>
    <t>Accu. Depreciation - Other Land Improvements</t>
  </si>
  <si>
    <t>1-07-02-991</t>
  </si>
  <si>
    <t>Road Networks</t>
  </si>
  <si>
    <t>1-07-03-010</t>
  </si>
  <si>
    <t>Accu. Depreciation - Road Networks</t>
  </si>
  <si>
    <t>1-07-03-011</t>
  </si>
  <si>
    <t>Flood Control Systems</t>
  </si>
  <si>
    <t>1-07-03-020</t>
  </si>
  <si>
    <t>Accu. Depreciation - Flood Control Systems</t>
  </si>
  <si>
    <t>1-07-03-021</t>
  </si>
  <si>
    <t>Sewer Systems</t>
  </si>
  <si>
    <t>1-07-03-030</t>
  </si>
  <si>
    <t>Accu. Depreciation - Sewer Systems</t>
  </si>
  <si>
    <t>1-07-03-031</t>
  </si>
  <si>
    <t>Water Supply Systems</t>
  </si>
  <si>
    <t>1-07-03-040</t>
  </si>
  <si>
    <t>Accu. Depreciation - Water Supply Systems</t>
  </si>
  <si>
    <t>1-07-03-041</t>
  </si>
  <si>
    <t>Power Supply Systems</t>
  </si>
  <si>
    <t>1-07-03-050</t>
  </si>
  <si>
    <t>Accu. Depreciation - Power Supply Systems</t>
  </si>
  <si>
    <t>1-07-03-051</t>
  </si>
  <si>
    <t>Seaport Systems</t>
  </si>
  <si>
    <t>1-07-03-070</t>
  </si>
  <si>
    <t>Accu. Depreciation - Seaports Systems</t>
  </si>
  <si>
    <t>1-07-03-071</t>
  </si>
  <si>
    <t>Parks, Plazas and Monuments</t>
  </si>
  <si>
    <t>1-07-03-090</t>
  </si>
  <si>
    <t>Accu. Depreciation - Parks, Plazas &amp; Monuments</t>
  </si>
  <si>
    <t>1-07-03-091</t>
  </si>
  <si>
    <t>Other Infrastructure Assets</t>
  </si>
  <si>
    <t>1-07-03-990</t>
  </si>
  <si>
    <t>Accu. Depreciation - Other Infrastructure Assets</t>
  </si>
  <si>
    <t>1-07-03-991</t>
  </si>
  <si>
    <t>Buildings</t>
  </si>
  <si>
    <t>1-07-04-010</t>
  </si>
  <si>
    <t>Accu. Depreciation - Buildings</t>
  </si>
  <si>
    <t>1-07-04-011</t>
  </si>
  <si>
    <t>School Buildings</t>
  </si>
  <si>
    <t>1-07-04-020</t>
  </si>
  <si>
    <t>Accu. Depreciation - School Buildings</t>
  </si>
  <si>
    <t>1-07-04-021</t>
  </si>
  <si>
    <t>Hospitals and Health Centers</t>
  </si>
  <si>
    <t>1-07-04-030</t>
  </si>
  <si>
    <t>Accu. Depreciation - Hospitals and Health Centers</t>
  </si>
  <si>
    <t>1-07-04-031</t>
  </si>
  <si>
    <t>Markets</t>
  </si>
  <si>
    <t>1-07-04-040</t>
  </si>
  <si>
    <t>Accu. Depreciation - Markets</t>
  </si>
  <si>
    <t>1-07-04-041</t>
  </si>
  <si>
    <t>Slaughterhouses</t>
  </si>
  <si>
    <t>1-07-04-050</t>
  </si>
  <si>
    <t>Accu. Depreciation - Slaughterhouses</t>
  </si>
  <si>
    <t>1-07-04-051</t>
  </si>
  <si>
    <t>Other Structures</t>
  </si>
  <si>
    <t>1-07-04-990</t>
  </si>
  <si>
    <t>Accu. Depreciation - Other Structures</t>
  </si>
  <si>
    <t>1-07-04-991</t>
  </si>
  <si>
    <t>Machinery</t>
  </si>
  <si>
    <t>1-07-05-010</t>
  </si>
  <si>
    <t>Accu. Depreciation - Machinery</t>
  </si>
  <si>
    <t>1-07-05-011</t>
  </si>
  <si>
    <t>Office Equipment</t>
  </si>
  <si>
    <t>1-07-05-020</t>
  </si>
  <si>
    <t>Accu. Depreciation - Office Equipment</t>
  </si>
  <si>
    <t>1-07-05-021</t>
  </si>
  <si>
    <t>Information and Communication Technology Equipment</t>
  </si>
  <si>
    <t>1-07-05-030</t>
  </si>
  <si>
    <t>Accu. Depreciation - Information and Comm. Technology Equipment</t>
  </si>
  <si>
    <t>1-07-05-031</t>
  </si>
  <si>
    <t>Agricultural and Forestry Equipment</t>
  </si>
  <si>
    <t>1-07-05-040</t>
  </si>
  <si>
    <t>Accu. Depreciation - Agricultural and Forestry Equipment</t>
  </si>
  <si>
    <t>1-07-05-041</t>
  </si>
  <si>
    <t>Marine and Fishery Equipment</t>
  </si>
  <si>
    <t>1-07-05-050</t>
  </si>
  <si>
    <t>Accu. Depreciation-Marine and Fishery Equipment</t>
  </si>
  <si>
    <t>1-07-05-051</t>
  </si>
  <si>
    <t>Communication Equipment</t>
  </si>
  <si>
    <t>1-07-05-070</t>
  </si>
  <si>
    <t>Accu. Depreciation - Communication Equipment</t>
  </si>
  <si>
    <t>1-07-05-071</t>
  </si>
  <si>
    <t>Construction and Heavy Equipment</t>
  </si>
  <si>
    <t>1-07-05-080</t>
  </si>
  <si>
    <t>Accu. Depreciation - Construction and Heavy Equipment</t>
  </si>
  <si>
    <t>1-07-05-081</t>
  </si>
  <si>
    <t>Disaster Response and Rescue Equipment</t>
  </si>
  <si>
    <t>1-07-05-090</t>
  </si>
  <si>
    <t>Accu. Depreciation - Disaster Response and Rescue Equipment</t>
  </si>
  <si>
    <t>1-07-05-091</t>
  </si>
  <si>
    <t>Military, Police and Security Equipment</t>
  </si>
  <si>
    <t>1-07-05-100</t>
  </si>
  <si>
    <t>Accu. Depreciation - Military, Police and Security Equipment</t>
  </si>
  <si>
    <t>1-07-05-101</t>
  </si>
  <si>
    <t>Medical Equipment</t>
  </si>
  <si>
    <t>1-07-05-110</t>
  </si>
  <si>
    <t>Accu. Depreciation - Medical Equipment</t>
  </si>
  <si>
    <t>1-07-05-111</t>
  </si>
  <si>
    <t>Sports Equipment</t>
  </si>
  <si>
    <t>1-07-05-130</t>
  </si>
  <si>
    <t>Accu. Depreciation - Sports Equipment</t>
  </si>
  <si>
    <t>1-07-05-131</t>
  </si>
  <si>
    <t>Technical and Scientific Equipment</t>
  </si>
  <si>
    <t>1-07-05-140</t>
  </si>
  <si>
    <t>Accu. Depreciation - Technical and Scientific Equipment</t>
  </si>
  <si>
    <t>1-07-05-141</t>
  </si>
  <si>
    <t>Other Machinery and Equipment</t>
  </si>
  <si>
    <t>1-07-05-990</t>
  </si>
  <si>
    <t>Accu. Depreciation - Other Machinery and Equipment</t>
  </si>
  <si>
    <t>1-07-05-991</t>
  </si>
  <si>
    <t>Motor Vehicles</t>
  </si>
  <si>
    <t>1-07-06-010</t>
  </si>
  <si>
    <t>Accu. Depreciation - Motor Vehicles</t>
  </si>
  <si>
    <t>1-07-06-011</t>
  </si>
  <si>
    <t>Watercrafts</t>
  </si>
  <si>
    <t>1-07-06-040</t>
  </si>
  <si>
    <t>Accu. Depreciation - Watercrafts</t>
  </si>
  <si>
    <t>1-07-06-041</t>
  </si>
  <si>
    <t>Furniture and Fixtures</t>
  </si>
  <si>
    <t>1-07-07-010</t>
  </si>
  <si>
    <t>Accu. Depreciation - Furniture and Fixtures</t>
  </si>
  <si>
    <t>1-07-07-011</t>
  </si>
  <si>
    <t>Books</t>
  </si>
  <si>
    <t>1-07-07-020</t>
  </si>
  <si>
    <t>Accu. Depreciation - Books</t>
  </si>
  <si>
    <t>1-07-07-021</t>
  </si>
  <si>
    <t>Construction in Progress - Land Improvement</t>
  </si>
  <si>
    <t>1-07-10-010</t>
  </si>
  <si>
    <t>Construction in Progress - Infrastructure Assets</t>
  </si>
  <si>
    <t>1-07-10-020</t>
  </si>
  <si>
    <t>Construction in Progress - Buildings and Other Structures</t>
  </si>
  <si>
    <t>1-07-10-030</t>
  </si>
  <si>
    <t>Other Property, Plant and Equipment</t>
  </si>
  <si>
    <t>1-07-99-990</t>
  </si>
  <si>
    <t>Accu. Depreciation - Other Property, Plant and Equipment</t>
  </si>
  <si>
    <t>1-07-99-991</t>
  </si>
  <si>
    <t>Breeding Stocks</t>
  </si>
  <si>
    <t>1-08-01-010</t>
  </si>
  <si>
    <t>Plants and Trees</t>
  </si>
  <si>
    <t>1-08-01-020</t>
  </si>
  <si>
    <t>Computer Software</t>
  </si>
  <si>
    <t>1-09-01-020</t>
  </si>
  <si>
    <t>Accounts Payable</t>
  </si>
  <si>
    <t>2-01-01-010</t>
  </si>
  <si>
    <t>Due to Officers and Employees</t>
  </si>
  <si>
    <t>2-01-01-020</t>
  </si>
  <si>
    <t>Loans Payable - Domestic</t>
  </si>
  <si>
    <t>2-01-02-040</t>
  </si>
  <si>
    <t>Due to BIR</t>
  </si>
  <si>
    <t>2-02-01-010</t>
  </si>
  <si>
    <t>Due to GSIS</t>
  </si>
  <si>
    <t>2-02-01-020</t>
  </si>
  <si>
    <t>Due to Pag-ibig</t>
  </si>
  <si>
    <t>2-02-01-030</t>
  </si>
  <si>
    <t>Due to Philhealth</t>
  </si>
  <si>
    <t>2-02-01-040</t>
  </si>
  <si>
    <t>Due to National Government Agencies</t>
  </si>
  <si>
    <t>2-02-01-050</t>
  </si>
  <si>
    <t>Due to GOCCs</t>
  </si>
  <si>
    <t>2-02-01-060</t>
  </si>
  <si>
    <t>Due to LGUs</t>
  </si>
  <si>
    <t>2-02-01-070</t>
  </si>
  <si>
    <t>Due to Other Funds</t>
  </si>
  <si>
    <t>2-03-01-010</t>
  </si>
  <si>
    <t>Trust Liabilities</t>
  </si>
  <si>
    <t>2-04-01-010</t>
  </si>
  <si>
    <t>Guaranty/Security Deposits Payable</t>
  </si>
  <si>
    <t>2-04-01-040</t>
  </si>
  <si>
    <t>Deferred Real Property Tax</t>
  </si>
  <si>
    <t>2-05-01-010</t>
  </si>
  <si>
    <t>Other Deferred Credits</t>
  </si>
  <si>
    <t>2-05-01-990</t>
  </si>
  <si>
    <t>Other Payables</t>
  </si>
  <si>
    <t>2-99-99-990</t>
  </si>
  <si>
    <t>Government Equity</t>
  </si>
  <si>
    <t>3-01-01-010</t>
  </si>
  <si>
    <t>Prior Period Adjustment</t>
  </si>
  <si>
    <t>3-01-01-020</t>
  </si>
  <si>
    <t>Professional Tax</t>
  </si>
  <si>
    <t>4-01-01-020</t>
  </si>
  <si>
    <t>Community Tax</t>
  </si>
  <si>
    <t>4-01-01-050</t>
  </si>
  <si>
    <t>Real Property Tax - Basic</t>
  </si>
  <si>
    <t>4-01-02-040</t>
  </si>
  <si>
    <t>Discount on Real Property Tax - Basic</t>
  </si>
  <si>
    <t>4-01-02-041</t>
  </si>
  <si>
    <t>Business Tax</t>
  </si>
  <si>
    <t>4-01-03-030</t>
  </si>
  <si>
    <t>Tax on Sand, Gravel and Other Quarry Products</t>
  </si>
  <si>
    <t>4-01-03-040</t>
  </si>
  <si>
    <t>Amusement Tax</t>
  </si>
  <si>
    <t>4-01-03-060</t>
  </si>
  <si>
    <t>Franchise Tax</t>
  </si>
  <si>
    <t>4-01-03-070</t>
  </si>
  <si>
    <t>Other Taxes</t>
  </si>
  <si>
    <t>4-01-04-990</t>
  </si>
  <si>
    <t>4-01-05-010</t>
  </si>
  <si>
    <t>4-01-05-020</t>
  </si>
  <si>
    <t>Tax Revenue-Fines and Penalty-Taxes on Goods and Services</t>
  </si>
  <si>
    <t>4-01-05-030</t>
  </si>
  <si>
    <t>Share from Internal Revenue Collections (IRA)</t>
  </si>
  <si>
    <t>4-01-06-010</t>
  </si>
  <si>
    <t>Share from National Wealth</t>
  </si>
  <si>
    <t>4-01-06-030</t>
  </si>
  <si>
    <t>Permit Fees</t>
  </si>
  <si>
    <t>4-02-01-010</t>
  </si>
  <si>
    <t>Registration Fees</t>
  </si>
  <si>
    <t>4-02-01-020</t>
  </si>
  <si>
    <t>Registration Plates, Tags and Stickers Fees</t>
  </si>
  <si>
    <t>4-02-01-030</t>
  </si>
  <si>
    <t>Clearances and Certification Fees</t>
  </si>
  <si>
    <t>4-02-01-040</t>
  </si>
  <si>
    <t>Supervision and Regulation Enforcement Fees</t>
  </si>
  <si>
    <t>4-02-01-070</t>
  </si>
  <si>
    <t>Inspection Fees</t>
  </si>
  <si>
    <t>4-02-01-100</t>
  </si>
  <si>
    <t>Occupation Fees</t>
  </si>
  <si>
    <t>4-02-01-140</t>
  </si>
  <si>
    <t>Fees for Sealing &amp; Licensing of Weights &amp; Measures</t>
  </si>
  <si>
    <t>4-02-01-160</t>
  </si>
  <si>
    <t>Fines and Penalties - Service Income</t>
  </si>
  <si>
    <t>4-02-01-980</t>
  </si>
  <si>
    <t>Other Service Income</t>
  </si>
  <si>
    <t>4-02-01-990</t>
  </si>
  <si>
    <t>Affiliation Fees</t>
  </si>
  <si>
    <t>4-02-02-020</t>
  </si>
  <si>
    <t>Rent Income</t>
  </si>
  <si>
    <t>4-02-02-050</t>
  </si>
  <si>
    <t>Waterworks System Fees</t>
  </si>
  <si>
    <t>4-02-02-090</t>
  </si>
  <si>
    <t>Parking Fees</t>
  </si>
  <si>
    <t>4-02-02-120</t>
  </si>
  <si>
    <t>Receipts from Market Operations</t>
  </si>
  <si>
    <t>4-02-02-140</t>
  </si>
  <si>
    <t>Receipts from Slaughterhouse Operations</t>
  </si>
  <si>
    <t>4-02-02-150</t>
  </si>
  <si>
    <t>Receipts from Cemetery Operations</t>
  </si>
  <si>
    <t>4-02-02-160</t>
  </si>
  <si>
    <t>Sales Revenue</t>
  </si>
  <si>
    <t>4-02-02-180</t>
  </si>
  <si>
    <t>Garbage Fees</t>
  </si>
  <si>
    <t>4-02-02-190</t>
  </si>
  <si>
    <t>Hospital Fees</t>
  </si>
  <si>
    <t>4-02-02-200</t>
  </si>
  <si>
    <t>Interest Income</t>
  </si>
  <si>
    <t>4-02-02-220</t>
  </si>
  <si>
    <t>Fines and Penalties - Business Income</t>
  </si>
  <si>
    <t>4-02-02-980</t>
  </si>
  <si>
    <t>Other Business Income</t>
  </si>
  <si>
    <t>4-02-02-990</t>
  </si>
  <si>
    <t>Subsidy From Local Government Units</t>
  </si>
  <si>
    <t>4-03-01-020</t>
  </si>
  <si>
    <t>Share from PCSO</t>
  </si>
  <si>
    <t>4-04-01-020</t>
  </si>
  <si>
    <t>Grants and Donations in Cash</t>
  </si>
  <si>
    <t>4-04-02-010</t>
  </si>
  <si>
    <t>Grants and Donations in Kind</t>
  </si>
  <si>
    <t>4-04-02-020</t>
  </si>
  <si>
    <t>Miscellaneous Income</t>
  </si>
  <si>
    <t>4-06-01-010</t>
  </si>
  <si>
    <t>Salaries and Wages</t>
  </si>
  <si>
    <t>5-01-01-010</t>
  </si>
  <si>
    <t>Personal Economic Relief Allowance (PERA)</t>
  </si>
  <si>
    <t>5-01-02-010</t>
  </si>
  <si>
    <t>Representation Allowance (RA)</t>
  </si>
  <si>
    <t>5-01-02-020</t>
  </si>
  <si>
    <t>Transportation Allowance (TA)</t>
  </si>
  <si>
    <t>5-01-02-030</t>
  </si>
  <si>
    <t>Clothing/Uniform Allowance</t>
  </si>
  <si>
    <t>5-01-02-040</t>
  </si>
  <si>
    <t>Subsistence Allowance</t>
  </si>
  <si>
    <t>5-01-02-050</t>
  </si>
  <si>
    <t>Laundry Allowance</t>
  </si>
  <si>
    <t>5-01-02-060</t>
  </si>
  <si>
    <t>Productivity Incentive Allowance</t>
  </si>
  <si>
    <t>5-01-02-080</t>
  </si>
  <si>
    <t>Hazard Pay</t>
  </si>
  <si>
    <t>5-01-02-110</t>
  </si>
  <si>
    <t>Overtime and Night Pay</t>
  </si>
  <si>
    <t>5-01-02-130</t>
  </si>
  <si>
    <t>Year End Bonus</t>
  </si>
  <si>
    <t>5-01-02-140</t>
  </si>
  <si>
    <t>Cash Gift</t>
  </si>
  <si>
    <t>5-01-02-150</t>
  </si>
  <si>
    <t>Other Bonuses and Allowances</t>
  </si>
  <si>
    <t>5-01-02-990</t>
  </si>
  <si>
    <t>Retirement and Life Insurance Premiums</t>
  </si>
  <si>
    <t>5-01-03-010</t>
  </si>
  <si>
    <t>Pag-ibig Contributions</t>
  </si>
  <si>
    <t>5-01-03-020</t>
  </si>
  <si>
    <t>Philhealth Contributions</t>
  </si>
  <si>
    <t>5-01-03-030</t>
  </si>
  <si>
    <t>Employees Compensation Insurance Premiums</t>
  </si>
  <si>
    <t>5-01-03-040</t>
  </si>
  <si>
    <t>Terminal Leave Benefits</t>
  </si>
  <si>
    <t>5-01-04-030</t>
  </si>
  <si>
    <t>Other Personnel Benefits</t>
  </si>
  <si>
    <t>5-01-04-990</t>
  </si>
  <si>
    <t>Traveling Expenses - Local</t>
  </si>
  <si>
    <t>5-02-01-010</t>
  </si>
  <si>
    <t>Training Expenses</t>
  </si>
  <si>
    <t>5-02-02-010</t>
  </si>
  <si>
    <t>Scholarship Grants/Expenses</t>
  </si>
  <si>
    <t>5-02-02-020</t>
  </si>
  <si>
    <t>Office Supplies Expenses</t>
  </si>
  <si>
    <t>5-02-03-010</t>
  </si>
  <si>
    <t>Accountable Forms Expenses</t>
  </si>
  <si>
    <t>5-02-03-020</t>
  </si>
  <si>
    <t>Non-Accountable Forms Expenses</t>
  </si>
  <si>
    <t>5-02-03-030</t>
  </si>
  <si>
    <t>Food Supplies Expenses</t>
  </si>
  <si>
    <t>5-02-03-050</t>
  </si>
  <si>
    <t>Welfare Goods Expenses</t>
  </si>
  <si>
    <t>5-02-03-060</t>
  </si>
  <si>
    <t>Drugs and Medicines Expenses</t>
  </si>
  <si>
    <t>5-02-03-070</t>
  </si>
  <si>
    <t>Medical, Dental and Laboratory Supplies Expenses</t>
  </si>
  <si>
    <t>5-02-03-080</t>
  </si>
  <si>
    <t>Fuel, Oil and Lubricants Expenses</t>
  </si>
  <si>
    <t>5-02-03-090</t>
  </si>
  <si>
    <t>Agricultural and Marine Supplies Expenses</t>
  </si>
  <si>
    <t>5-02-03-100</t>
  </si>
  <si>
    <t>Semi-Expandable Machinery &amp; Equipment-Office Equipt</t>
  </si>
  <si>
    <t>5-02-03-210(03)</t>
  </si>
  <si>
    <t>Semi-Expandable Machinery &amp; Equipment- ICTE</t>
  </si>
  <si>
    <t>Semi-Expandable Machinery &amp; Equipment- Others</t>
  </si>
  <si>
    <t>5-02-03-210(99)</t>
  </si>
  <si>
    <t>Semi-Expandable Furnitures, Fixtures &amp; Books Expenses</t>
  </si>
  <si>
    <t>5-02-03-220(01)</t>
  </si>
  <si>
    <t>Other Supplies and Materials Expenses</t>
  </si>
  <si>
    <t>5-02-03-990</t>
  </si>
  <si>
    <t>Electricity Expenses</t>
  </si>
  <si>
    <t>5-02-04-020</t>
  </si>
  <si>
    <t>Postage and Courier Services</t>
  </si>
  <si>
    <t>5-02-05-010</t>
  </si>
  <si>
    <t>Telephone Expenses</t>
  </si>
  <si>
    <t>5-02-05-020</t>
  </si>
  <si>
    <t>Internet Subscription Expenses</t>
  </si>
  <si>
    <t>5-02-05-030</t>
  </si>
  <si>
    <t>Awards and Rewards Expenses</t>
  </si>
  <si>
    <t>5-02-06-010</t>
  </si>
  <si>
    <t>Prizes</t>
  </si>
  <si>
    <t>5-02-06-020</t>
  </si>
  <si>
    <t>Survey Expenses</t>
  </si>
  <si>
    <t>5-02-07-010</t>
  </si>
  <si>
    <t>Desilting and Dredging Expenses</t>
  </si>
  <si>
    <t>5-02-08-020</t>
  </si>
  <si>
    <t>Confidential Expenses</t>
  </si>
  <si>
    <t>5-02-10-010</t>
  </si>
  <si>
    <t>Legal Services</t>
  </si>
  <si>
    <t>5-02-11-010</t>
  </si>
  <si>
    <t>Other Professional Services</t>
  </si>
  <si>
    <t>5-02-11-990</t>
  </si>
  <si>
    <t>Environment/Sanitary Services</t>
  </si>
  <si>
    <t>5-02-12-010</t>
  </si>
  <si>
    <t>Other General Services</t>
  </si>
  <si>
    <t>5-02-12-990</t>
  </si>
  <si>
    <t>Repairs and Maintenance - Investment Property</t>
  </si>
  <si>
    <t>5-02-13-010</t>
  </si>
  <si>
    <t>Repairs and Maintenance - Land Improvements</t>
  </si>
  <si>
    <t>5-02-13-020</t>
  </si>
  <si>
    <t>Repairs and Maintenance - Infrastructure Assets</t>
  </si>
  <si>
    <t>5-02-13-030</t>
  </si>
  <si>
    <t>Repairs and Maintenance - Buildings and Other Structures</t>
  </si>
  <si>
    <t>5-02-13-040</t>
  </si>
  <si>
    <t>Repairs and Maintenance - Machinery and Equipment</t>
  </si>
  <si>
    <t>5-02-13-050</t>
  </si>
  <si>
    <t>Repairs and Maintenance - Semi-Expendable Machinery and Equipment</t>
  </si>
  <si>
    <t>5-02-13-050 (02)</t>
  </si>
  <si>
    <t>Repairs and Maintenance -Transportation Equipment</t>
  </si>
  <si>
    <t>5-02-13-060</t>
  </si>
  <si>
    <t>Repairs and Maintenance -Furniture and Fixtures</t>
  </si>
  <si>
    <t>5-02-13-070</t>
  </si>
  <si>
    <t>Repairs and Maintenance - Other Property, Plant &amp; Equipment</t>
  </si>
  <si>
    <t>5-02-13-990</t>
  </si>
  <si>
    <t>Subsidy to NGAs</t>
  </si>
  <si>
    <t>5-02-14-020</t>
  </si>
  <si>
    <t>Subsidy to Other LGUs</t>
  </si>
  <si>
    <t>5-02-14-030</t>
  </si>
  <si>
    <t>Subsidy-Others</t>
  </si>
  <si>
    <t>5-02-14-990</t>
  </si>
  <si>
    <t>Transfer of Unspent Current Year DRRM Funds to the Trust Fund</t>
  </si>
  <si>
    <t>5-02-15-010</t>
  </si>
  <si>
    <t>Taxes, Duties and Licenses</t>
  </si>
  <si>
    <t>5-02-16-010</t>
  </si>
  <si>
    <t>Fidelity Bond Premiums</t>
  </si>
  <si>
    <t>5-02-16-020</t>
  </si>
  <si>
    <t>Insurance Expenses</t>
  </si>
  <si>
    <t>5-02-16-030</t>
  </si>
  <si>
    <t>Advertising expenses</t>
  </si>
  <si>
    <t>5-02-99-010</t>
  </si>
  <si>
    <t>Printing and Publication Expenses</t>
  </si>
  <si>
    <t>5-02-99-020</t>
  </si>
  <si>
    <t>Representation Expenses</t>
  </si>
  <si>
    <t>5-02-99-030</t>
  </si>
  <si>
    <t>Transportation and Delivery Expenses</t>
  </si>
  <si>
    <t>5-02-99-040</t>
  </si>
  <si>
    <t>Rent Expenses</t>
  </si>
  <si>
    <t>5-02-99-050</t>
  </si>
  <si>
    <t>Membership Dues and Contributions to Organizations</t>
  </si>
  <si>
    <t>5-02-99-060</t>
  </si>
  <si>
    <t>Donations</t>
  </si>
  <si>
    <t>5-02-99-080</t>
  </si>
  <si>
    <t>Other Maintenance and Operating Expenses</t>
  </si>
  <si>
    <t>5-02-99-990</t>
  </si>
  <si>
    <t>Bank Charges</t>
  </si>
  <si>
    <t>5-03-01-040</t>
  </si>
  <si>
    <t>Direct Material</t>
  </si>
  <si>
    <t>5-04-01-010</t>
  </si>
  <si>
    <t>Direct Labor</t>
  </si>
  <si>
    <t>5-04-01-020</t>
  </si>
  <si>
    <t>Depreciation - Land Improvements</t>
  </si>
  <si>
    <t>5-05-01-020</t>
  </si>
  <si>
    <t>Depreciation - Infrastructure Assets</t>
  </si>
  <si>
    <t>5-05-01-030</t>
  </si>
  <si>
    <t>Depreciation - Buildings and Other Structures</t>
  </si>
  <si>
    <t>5-05-01-040</t>
  </si>
  <si>
    <t>Depreciation - Machinery and Equipment</t>
  </si>
  <si>
    <t>5-05-01-050</t>
  </si>
  <si>
    <t>Depreciation - Transportation Equipment</t>
  </si>
  <si>
    <t>5-05-01-060</t>
  </si>
  <si>
    <t>Depreciation - Furniture, Fixtures &amp; Books</t>
  </si>
  <si>
    <t>5-05-01-070</t>
  </si>
  <si>
    <t>Depreciation - Other Property Plant and Equipment</t>
  </si>
  <si>
    <t>5-05-01-990</t>
  </si>
  <si>
    <t>Impairment Loss- Loans Receivables</t>
  </si>
  <si>
    <t>5-05-03-020</t>
  </si>
  <si>
    <t>As of November 30, 2025</t>
  </si>
  <si>
    <t>Trial  Balance</t>
  </si>
  <si>
    <t>Beginning Balance-Nov 2024</t>
  </si>
  <si>
    <t>Tax Revenue  - Fines and Penalties - Individual and Corporation</t>
  </si>
  <si>
    <t>Tax Revenue  - Fines and Penalties - Property Taxes</t>
  </si>
  <si>
    <t xml:space="preserve">Semi-Expandable Machinery &amp; Equipment- DRRM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</si>
</sst>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 Black"/>
      <family val="2"/>
    </font>
    <font>
      <sz val="10"/>
      <color theme="1"/>
      <name val="Calibri"/>
      <family val="2"/>
      <scheme val="minor"/>
    </font>
    <font>
      <i/>
      <sz val="10"/>
      <name val="Times New Roman"/>
      <family val="1"/>
    </font>
    <font>
      <b/>
      <sz val="10"/>
      <name val="Times New Roman"/>
      <family val="1"/>
    </font>
    <font>
      <b/>
      <sz val="10"/>
      <name val="Book Antiqua"/>
      <family val="1"/>
    </font>
    <font>
      <b/>
      <sz val="11"/>
      <name val="Times New Roman"/>
      <family val="1"/>
    </font>
    <font>
      <b/>
      <sz val="14"/>
      <name val="Arial Black"/>
      <family val="2"/>
    </font>
    <font>
      <b/>
      <sz val="11"/>
      <name val="Arial Black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6"/>
      <name val="Arial Black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.5"/>
      <color theme="1"/>
      <name val="Calibri"/>
      <family val="2"/>
      <scheme val="minor"/>
    </font>
    <font>
      <sz val="9"/>
      <name val="Calibri"/>
      <family val="2"/>
      <scheme val="minor"/>
    </font>
    <font>
      <sz val="10.5"/>
      <name val="Calibri"/>
      <family val="2"/>
      <scheme val="minor"/>
    </font>
    <font>
      <sz val="11"/>
      <name val="Times New Roman"/>
      <family val="1"/>
    </font>
    <font>
      <sz val="9"/>
      <name val="Times New Roman"/>
      <family val="1"/>
    </font>
    <font>
      <sz val="10"/>
      <name val="Calibri"/>
      <family val="2"/>
      <scheme val="minor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23" fillId="0" borderId="0" applyFont="0" applyFill="0" applyBorder="0" applyAlignment="0" applyProtection="0"/>
  </cellStyleXfs>
  <cellXfs count="382">
    <xf numFmtId="0" fontId="0" fillId="0" borderId="0" xfId="0"/>
    <xf numFmtId="0" fontId="2" fillId="0" borderId="0" xfId="1" applyFont="1" applyAlignment="1">
      <alignment horizontal="left" vertical="top"/>
    </xf>
    <xf numFmtId="0" fontId="2" fillId="0" borderId="8" xfId="1" applyFont="1" applyBorder="1" applyAlignment="1">
      <alignment horizontal="left" vertical="top"/>
    </xf>
    <xf numFmtId="0" fontId="2" fillId="0" borderId="4" xfId="1" applyFont="1" applyBorder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12" xfId="1" applyFont="1" applyBorder="1" applyAlignment="1">
      <alignment horizontal="left" vertical="top"/>
    </xf>
    <xf numFmtId="0" fontId="2" fillId="0" borderId="8" xfId="1" applyFont="1" applyBorder="1" applyAlignment="1">
      <alignment horizontal="center" vertical="top"/>
    </xf>
    <xf numFmtId="0" fontId="2" fillId="0" borderId="37" xfId="1" applyFont="1" applyBorder="1" applyAlignment="1">
      <alignment vertical="top"/>
    </xf>
    <xf numFmtId="0" fontId="2" fillId="0" borderId="23" xfId="1" applyFont="1" applyBorder="1" applyAlignment="1">
      <alignment horizontal="center" vertical="top"/>
    </xf>
    <xf numFmtId="0" fontId="2" fillId="0" borderId="22" xfId="1" applyFont="1" applyBorder="1" applyAlignment="1">
      <alignment horizontal="center" vertical="top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4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4" xfId="0" applyFont="1" applyBorder="1"/>
    <xf numFmtId="0" fontId="6" fillId="0" borderId="0" xfId="0" applyFont="1"/>
    <xf numFmtId="0" fontId="2" fillId="0" borderId="6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0" fontId="8" fillId="0" borderId="2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left" vertical="top" wrapText="1"/>
    </xf>
    <xf numFmtId="0" fontId="2" fillId="0" borderId="12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8" xfId="1" applyFont="1" applyBorder="1" applyAlignment="1">
      <alignment horizontal="left"/>
    </xf>
    <xf numFmtId="0" fontId="2" fillId="0" borderId="13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30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2" fillId="0" borderId="8" xfId="1" applyFont="1" applyBorder="1" applyAlignment="1">
      <alignment vertical="top" wrapText="1"/>
    </xf>
    <xf numFmtId="0" fontId="2" fillId="0" borderId="31" xfId="1" applyFont="1" applyBorder="1" applyAlignment="1">
      <alignment vertical="top" wrapText="1"/>
    </xf>
    <xf numFmtId="0" fontId="2" fillId="0" borderId="18" xfId="1" applyFont="1" applyBorder="1" applyAlignment="1">
      <alignment vertical="top" wrapText="1"/>
    </xf>
    <xf numFmtId="0" fontId="2" fillId="0" borderId="19" xfId="1" applyFont="1" applyBorder="1" applyAlignment="1">
      <alignment vertical="top" wrapText="1"/>
    </xf>
    <xf numFmtId="0" fontId="2" fillId="0" borderId="32" xfId="1" applyFont="1" applyBorder="1" applyAlignment="1">
      <alignment horizontal="center" vertical="top" wrapText="1"/>
    </xf>
    <xf numFmtId="0" fontId="2" fillId="0" borderId="19" xfId="1" applyFont="1" applyBorder="1" applyAlignment="1">
      <alignment horizontal="center" vertical="top" wrapText="1"/>
    </xf>
    <xf numFmtId="0" fontId="2" fillId="0" borderId="32" xfId="1" applyFont="1" applyBorder="1" applyAlignment="1">
      <alignment vertical="top" wrapText="1"/>
    </xf>
    <xf numFmtId="0" fontId="2" fillId="0" borderId="20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2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top" wrapText="1"/>
    </xf>
    <xf numFmtId="0" fontId="8" fillId="0" borderId="36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2" fillId="0" borderId="4" xfId="1" applyFont="1" applyBorder="1" applyAlignment="1">
      <alignment vertical="top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6" fillId="0" borderId="0" xfId="0" applyFont="1"/>
    <xf numFmtId="0" fontId="13" fillId="0" borderId="39" xfId="0" applyFont="1" applyBorder="1"/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6" fillId="0" borderId="48" xfId="0" applyFont="1" applyBorder="1"/>
    <xf numFmtId="0" fontId="16" fillId="0" borderId="49" xfId="0" applyFont="1" applyBorder="1"/>
    <xf numFmtId="0" fontId="16" fillId="0" borderId="2" xfId="0" applyFont="1" applyBorder="1"/>
    <xf numFmtId="0" fontId="16" fillId="0" borderId="50" xfId="0" applyFont="1" applyBorder="1"/>
    <xf numFmtId="0" fontId="16" fillId="0" borderId="51" xfId="0" applyFont="1" applyBorder="1"/>
    <xf numFmtId="0" fontId="16" fillId="0" borderId="52" xfId="0" applyFont="1" applyBorder="1"/>
    <xf numFmtId="0" fontId="16" fillId="0" borderId="53" xfId="0" applyFont="1" applyBorder="1"/>
    <xf numFmtId="0" fontId="16" fillId="0" borderId="54" xfId="0" applyFont="1" applyBorder="1"/>
    <xf numFmtId="0" fontId="16" fillId="0" borderId="55" xfId="0" applyFont="1" applyBorder="1"/>
    <xf numFmtId="0" fontId="16" fillId="0" borderId="56" xfId="0" applyFont="1" applyBorder="1"/>
    <xf numFmtId="0" fontId="16" fillId="0" borderId="39" xfId="0" applyFont="1" applyBorder="1"/>
    <xf numFmtId="0" fontId="16" fillId="0" borderId="57" xfId="0" applyFont="1" applyBorder="1"/>
    <xf numFmtId="0" fontId="16" fillId="0" borderId="58" xfId="0" applyFont="1" applyBorder="1"/>
    <xf numFmtId="0" fontId="4" fillId="0" borderId="0" xfId="0" applyFont="1"/>
    <xf numFmtId="0" fontId="3" fillId="0" borderId="0" xfId="0" applyFont="1"/>
    <xf numFmtId="0" fontId="4" fillId="0" borderId="6" xfId="0" applyFont="1" applyBorder="1"/>
    <xf numFmtId="0" fontId="15" fillId="0" borderId="0" xfId="0" applyFont="1"/>
    <xf numFmtId="0" fontId="17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5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19" fillId="0" borderId="80" xfId="0" quotePrefix="1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0" fontId="19" fillId="0" borderId="8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9" fillId="0" borderId="93" xfId="0" applyFont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/>
    </xf>
    <xf numFmtId="0" fontId="19" fillId="0" borderId="85" xfId="0" applyFont="1" applyBorder="1"/>
    <xf numFmtId="0" fontId="19" fillId="0" borderId="93" xfId="0" applyFont="1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96" xfId="0" applyBorder="1"/>
    <xf numFmtId="0" fontId="0" fillId="0" borderId="80" xfId="0" applyBorder="1"/>
    <xf numFmtId="0" fontId="0" fillId="0" borderId="82" xfId="0" applyBorder="1"/>
    <xf numFmtId="0" fontId="0" fillId="0" borderId="72" xfId="0" applyBorder="1"/>
    <xf numFmtId="0" fontId="0" fillId="0" borderId="97" xfId="0" applyBorder="1"/>
    <xf numFmtId="0" fontId="0" fillId="0" borderId="81" xfId="0" applyBorder="1"/>
    <xf numFmtId="0" fontId="0" fillId="0" borderId="83" xfId="0" applyBorder="1"/>
    <xf numFmtId="0" fontId="0" fillId="0" borderId="78" xfId="0" applyBorder="1"/>
    <xf numFmtId="0" fontId="0" fillId="0" borderId="98" xfId="0" applyBorder="1"/>
    <xf numFmtId="0" fontId="0" fillId="0" borderId="70" xfId="0" applyBorder="1"/>
    <xf numFmtId="0" fontId="0" fillId="0" borderId="69" xfId="0" applyBorder="1"/>
    <xf numFmtId="0" fontId="0" fillId="0" borderId="71" xfId="0" applyBorder="1"/>
    <xf numFmtId="0" fontId="0" fillId="0" borderId="79" xfId="0" applyBorder="1"/>
    <xf numFmtId="0" fontId="0" fillId="0" borderId="86" xfId="0" applyBorder="1"/>
    <xf numFmtId="0" fontId="18" fillId="0" borderId="72" xfId="0" applyFont="1" applyBorder="1"/>
    <xf numFmtId="0" fontId="18" fillId="0" borderId="79" xfId="0" applyFont="1" applyBorder="1"/>
    <xf numFmtId="0" fontId="19" fillId="0" borderId="98" xfId="0" applyFont="1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47" xfId="0" applyBorder="1"/>
    <xf numFmtId="0" fontId="0" fillId="0" borderId="102" xfId="0" applyBorder="1"/>
    <xf numFmtId="0" fontId="0" fillId="0" borderId="103" xfId="0" applyBorder="1"/>
    <xf numFmtId="0" fontId="0" fillId="0" borderId="23" xfId="0" applyBorder="1"/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16" fillId="0" borderId="6" xfId="0" applyFont="1" applyBorder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07" xfId="0" applyFont="1" applyBorder="1" applyAlignment="1">
      <alignment horizontal="center"/>
    </xf>
    <xf numFmtId="0" fontId="21" fillId="0" borderId="108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/>
    </xf>
    <xf numFmtId="0" fontId="21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/>
    </xf>
    <xf numFmtId="0" fontId="21" fillId="0" borderId="88" xfId="0" applyFont="1" applyBorder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19" fillId="0" borderId="95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/>
    </xf>
    <xf numFmtId="0" fontId="21" fillId="0" borderId="94" xfId="0" applyFont="1" applyBorder="1" applyAlignment="1">
      <alignment horizontal="center"/>
    </xf>
    <xf numFmtId="0" fontId="16" fillId="0" borderId="96" xfId="0" applyFont="1" applyBorder="1"/>
    <xf numFmtId="0" fontId="16" fillId="0" borderId="80" xfId="0" applyFont="1" applyBorder="1"/>
    <xf numFmtId="0" fontId="16" fillId="0" borderId="83" xfId="0" applyFont="1" applyBorder="1"/>
    <xf numFmtId="0" fontId="16" fillId="0" borderId="82" xfId="0" applyFont="1" applyBorder="1"/>
    <xf numFmtId="0" fontId="16" fillId="0" borderId="111" xfId="0" applyFont="1" applyBorder="1"/>
    <xf numFmtId="0" fontId="16" fillId="0" borderId="78" xfId="0" applyFont="1" applyBorder="1"/>
    <xf numFmtId="0" fontId="16" fillId="0" borderId="81" xfId="0" applyFont="1" applyBorder="1"/>
    <xf numFmtId="0" fontId="16" fillId="0" borderId="84" xfId="0" applyFont="1" applyBorder="1"/>
    <xf numFmtId="0" fontId="16" fillId="0" borderId="112" xfId="0" applyFont="1" applyBorder="1"/>
    <xf numFmtId="0" fontId="16" fillId="0" borderId="113" xfId="0" applyFont="1" applyBorder="1"/>
    <xf numFmtId="0" fontId="16" fillId="0" borderId="19" xfId="0" applyFont="1" applyBorder="1"/>
    <xf numFmtId="0" fontId="16" fillId="0" borderId="114" xfId="0" applyFont="1" applyBorder="1"/>
    <xf numFmtId="0" fontId="16" fillId="0" borderId="115" xfId="0" applyFont="1" applyBorder="1"/>
    <xf numFmtId="0" fontId="16" fillId="0" borderId="116" xfId="0" applyFont="1" applyBorder="1"/>
    <xf numFmtId="0" fontId="16" fillId="0" borderId="117" xfId="0" applyFont="1" applyBorder="1"/>
    <xf numFmtId="0" fontId="16" fillId="0" borderId="118" xfId="0" applyFont="1" applyBorder="1"/>
    <xf numFmtId="0" fontId="16" fillId="0" borderId="119" xfId="0" applyFont="1" applyBorder="1"/>
    <xf numFmtId="0" fontId="16" fillId="0" borderId="120" xfId="0" applyFont="1" applyBorder="1"/>
    <xf numFmtId="0" fontId="16" fillId="0" borderId="121" xfId="0" applyFont="1" applyBorder="1"/>
    <xf numFmtId="0" fontId="16" fillId="0" borderId="106" xfId="0" applyFont="1" applyBorder="1"/>
    <xf numFmtId="0" fontId="16" fillId="0" borderId="105" xfId="0" applyFont="1" applyBorder="1"/>
    <xf numFmtId="0" fontId="16" fillId="0" borderId="125" xfId="0" applyFont="1" applyBorder="1"/>
    <xf numFmtId="0" fontId="16" fillId="0" borderId="126" xfId="0" applyFont="1" applyBorder="1"/>
    <xf numFmtId="0" fontId="16" fillId="0" borderId="127" xfId="0" applyFont="1" applyBorder="1"/>
    <xf numFmtId="0" fontId="16" fillId="0" borderId="98" xfId="0" applyFont="1" applyBorder="1"/>
    <xf numFmtId="0" fontId="0" fillId="0" borderId="84" xfId="0" applyBorder="1"/>
    <xf numFmtId="0" fontId="0" fillId="0" borderId="116" xfId="0" applyBorder="1"/>
    <xf numFmtId="0" fontId="0" fillId="0" borderId="19" xfId="0" applyBorder="1"/>
    <xf numFmtId="0" fontId="0" fillId="0" borderId="117" xfId="0" applyBorder="1"/>
    <xf numFmtId="0" fontId="0" fillId="0" borderId="113" xfId="0" applyBorder="1"/>
    <xf numFmtId="0" fontId="0" fillId="0" borderId="114" xfId="0" applyBorder="1"/>
    <xf numFmtId="0" fontId="0" fillId="0" borderId="112" xfId="0" applyBorder="1"/>
    <xf numFmtId="0" fontId="0" fillId="0" borderId="118" xfId="0" applyBorder="1"/>
    <xf numFmtId="0" fontId="4" fillId="0" borderId="114" xfId="0" applyFont="1" applyBorder="1"/>
    <xf numFmtId="0" fontId="0" fillId="0" borderId="39" xfId="0" applyBorder="1"/>
    <xf numFmtId="0" fontId="0" fillId="0" borderId="120" xfId="0" applyBorder="1"/>
    <xf numFmtId="0" fontId="0" fillId="0" borderId="121" xfId="0" applyBorder="1"/>
    <xf numFmtId="0" fontId="0" fillId="0" borderId="119" xfId="0" applyBorder="1"/>
    <xf numFmtId="0" fontId="0" fillId="0" borderId="6" xfId="0" applyBorder="1"/>
    <xf numFmtId="0" fontId="0" fillId="0" borderId="0" xfId="0" applyAlignment="1">
      <alignment vertical="center"/>
    </xf>
    <xf numFmtId="164" fontId="24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43" fontId="6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164" fontId="0" fillId="0" borderId="0" xfId="0" applyNumberFormat="1"/>
    <xf numFmtId="43" fontId="0" fillId="0" borderId="0" xfId="0" applyNumberFormat="1"/>
    <xf numFmtId="164" fontId="24" fillId="0" borderId="0" xfId="0" applyNumberFormat="1" applyFont="1"/>
    <xf numFmtId="0" fontId="0" fillId="0" borderId="33" xfId="0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7" fillId="0" borderId="135" xfId="0" applyFont="1" applyBorder="1" applyAlignment="1">
      <alignment vertical="center"/>
    </xf>
    <xf numFmtId="0" fontId="27" fillId="0" borderId="135" xfId="0" applyFont="1" applyBorder="1" applyAlignment="1">
      <alignment horizontal="center" vertical="center"/>
    </xf>
    <xf numFmtId="43" fontId="24" fillId="0" borderId="135" xfId="2" applyFont="1" applyFill="1" applyBorder="1" applyAlignment="1">
      <alignment vertical="center"/>
    </xf>
    <xf numFmtId="43" fontId="28" fillId="0" borderId="53" xfId="2" quotePrefix="1" applyFont="1" applyFill="1" applyBorder="1" applyAlignment="1">
      <alignment horizontal="center" vertical="center"/>
    </xf>
    <xf numFmtId="43" fontId="24" fillId="0" borderId="53" xfId="2" applyFont="1" applyFill="1" applyBorder="1" applyAlignment="1">
      <alignment vertical="center"/>
    </xf>
    <xf numFmtId="43" fontId="28" fillId="0" borderId="135" xfId="2" quotePrefix="1" applyFont="1" applyFill="1" applyBorder="1" applyAlignment="1">
      <alignment horizontal="center" vertical="center"/>
    </xf>
    <xf numFmtId="43" fontId="25" fillId="2" borderId="135" xfId="2" applyFont="1" applyFill="1" applyBorder="1" applyAlignment="1">
      <alignment horizontal="center" vertical="center"/>
    </xf>
    <xf numFmtId="43" fontId="25" fillId="0" borderId="135" xfId="2" applyFont="1" applyFill="1" applyBorder="1" applyAlignment="1">
      <alignment horizontal="center" vertical="center"/>
    </xf>
    <xf numFmtId="43" fontId="25" fillId="0" borderId="53" xfId="2" applyFont="1" applyFill="1" applyBorder="1" applyAlignment="1">
      <alignment vertical="center"/>
    </xf>
    <xf numFmtId="43" fontId="25" fillId="0" borderId="30" xfId="2" applyFont="1" applyFill="1" applyBorder="1" applyAlignment="1">
      <alignment horizontal="center" vertical="center"/>
    </xf>
    <xf numFmtId="43" fontId="25" fillId="0" borderId="8" xfId="2" applyFont="1" applyFill="1" applyBorder="1" applyAlignment="1">
      <alignment horizontal="center" vertical="center"/>
    </xf>
    <xf numFmtId="0" fontId="27" fillId="0" borderId="53" xfId="0" applyFont="1" applyBorder="1" applyAlignment="1">
      <alignment vertical="center"/>
    </xf>
    <xf numFmtId="0" fontId="29" fillId="0" borderId="53" xfId="0" applyFont="1" applyBorder="1" applyAlignment="1">
      <alignment horizontal="center" vertical="center"/>
    </xf>
    <xf numFmtId="43" fontId="25" fillId="2" borderId="53" xfId="2" applyFont="1" applyFill="1" applyBorder="1" applyAlignment="1">
      <alignment vertical="center"/>
    </xf>
    <xf numFmtId="43" fontId="25" fillId="0" borderId="30" xfId="2" applyFont="1" applyFill="1" applyBorder="1" applyAlignment="1">
      <alignment vertical="center"/>
    </xf>
    <xf numFmtId="43" fontId="25" fillId="0" borderId="8" xfId="2" applyFont="1" applyFill="1" applyBorder="1" applyAlignment="1">
      <alignment vertical="center"/>
    </xf>
    <xf numFmtId="0" fontId="27" fillId="0" borderId="53" xfId="0" applyFont="1" applyBorder="1" applyAlignment="1">
      <alignment horizontal="center" vertical="center"/>
    </xf>
    <xf numFmtId="0" fontId="0" fillId="0" borderId="53" xfId="0" applyBorder="1"/>
    <xf numFmtId="0" fontId="29" fillId="0" borderId="53" xfId="0" applyFont="1" applyBorder="1" applyAlignment="1">
      <alignment vertical="center"/>
    </xf>
    <xf numFmtId="43" fontId="30" fillId="2" borderId="0" xfId="2" applyFont="1" applyFill="1" applyAlignment="1">
      <alignment vertical="center"/>
    </xf>
    <xf numFmtId="0" fontId="6" fillId="0" borderId="53" xfId="0" applyFont="1" applyBorder="1" applyAlignment="1">
      <alignment vertical="center"/>
    </xf>
    <xf numFmtId="0" fontId="29" fillId="0" borderId="53" xfId="0" applyFont="1" applyBorder="1" applyAlignment="1">
      <alignment horizontal="left" vertical="center"/>
    </xf>
    <xf numFmtId="0" fontId="29" fillId="0" borderId="53" xfId="0" applyFont="1" applyBorder="1" applyAlignment="1">
      <alignment horizontal="center"/>
    </xf>
    <xf numFmtId="43" fontId="31" fillId="2" borderId="53" xfId="2" applyFont="1" applyFill="1" applyBorder="1" applyAlignment="1">
      <alignment vertical="center"/>
    </xf>
    <xf numFmtId="0" fontId="29" fillId="0" borderId="53" xfId="2" applyNumberFormat="1" applyFont="1" applyFill="1" applyBorder="1" applyAlignment="1">
      <alignment horizontal="center" vertical="center"/>
    </xf>
    <xf numFmtId="0" fontId="29" fillId="0" borderId="53" xfId="0" applyFont="1" applyBorder="1" applyAlignment="1">
      <alignment horizontal="left" vertical="center" wrapText="1"/>
    </xf>
    <xf numFmtId="0" fontId="28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vertical="center"/>
    </xf>
    <xf numFmtId="0" fontId="27" fillId="0" borderId="136" xfId="0" applyFont="1" applyBorder="1" applyAlignment="1">
      <alignment vertical="center"/>
    </xf>
    <xf numFmtId="0" fontId="27" fillId="0" borderId="133" xfId="0" applyFont="1" applyBorder="1" applyAlignment="1">
      <alignment horizontal="center" vertical="center"/>
    </xf>
    <xf numFmtId="43" fontId="24" fillId="0" borderId="38" xfId="2" applyFont="1" applyFill="1" applyBorder="1" applyAlignment="1">
      <alignment vertical="center"/>
    </xf>
    <xf numFmtId="43" fontId="24" fillId="0" borderId="21" xfId="2" applyFont="1" applyFill="1" applyBorder="1" applyAlignment="1">
      <alignment vertical="center"/>
    </xf>
    <xf numFmtId="43" fontId="25" fillId="0" borderId="21" xfId="2" applyFont="1" applyFill="1" applyBorder="1" applyAlignment="1">
      <alignment vertical="center"/>
    </xf>
    <xf numFmtId="43" fontId="25" fillId="0" borderId="137" xfId="2" applyFont="1" applyFill="1" applyBorder="1" applyAlignment="1">
      <alignment vertical="center"/>
    </xf>
    <xf numFmtId="43" fontId="25" fillId="0" borderId="23" xfId="2" applyFont="1" applyFill="1" applyBorder="1" applyAlignment="1">
      <alignment vertical="center"/>
    </xf>
    <xf numFmtId="43" fontId="25" fillId="0" borderId="138" xfId="2" applyFont="1" applyFill="1" applyBorder="1" applyAlignment="1">
      <alignment vertical="center"/>
    </xf>
    <xf numFmtId="43" fontId="25" fillId="0" borderId="139" xfId="2" applyFont="1" applyFill="1" applyBorder="1" applyAlignment="1">
      <alignment vertical="center"/>
    </xf>
    <xf numFmtId="0" fontId="27" fillId="0" borderId="0" xfId="0" applyFont="1" applyAlignment="1">
      <alignment vertical="center"/>
    </xf>
    <xf numFmtId="43" fontId="24" fillId="0" borderId="0" xfId="2" applyFont="1" applyFill="1" applyAlignment="1">
      <alignment vertical="center"/>
    </xf>
    <xf numFmtId="1" fontId="24" fillId="0" borderId="0" xfId="2" applyNumberFormat="1" applyFont="1" applyFill="1" applyAlignment="1">
      <alignment vertical="center"/>
    </xf>
    <xf numFmtId="43" fontId="25" fillId="0" borderId="0" xfId="2" applyFont="1" applyFill="1" applyAlignment="1">
      <alignment vertical="center"/>
    </xf>
    <xf numFmtId="43" fontId="26" fillId="0" borderId="0" xfId="2" applyFont="1" applyFill="1" applyAlignment="1">
      <alignment vertical="center"/>
    </xf>
    <xf numFmtId="43" fontId="33" fillId="0" borderId="0" xfId="2" applyFont="1" applyFill="1" applyBorder="1" applyAlignment="1">
      <alignment vertical="center"/>
    </xf>
    <xf numFmtId="43" fontId="24" fillId="0" borderId="0" xfId="2" applyFont="1" applyFill="1"/>
    <xf numFmtId="0" fontId="0" fillId="0" borderId="0" xfId="0" applyAlignment="1">
      <alignment horizontal="center" vertical="center"/>
    </xf>
    <xf numFmtId="0" fontId="2" fillId="0" borderId="18" xfId="1" applyFont="1" applyBorder="1" applyAlignment="1">
      <alignment vertical="top" wrapText="1"/>
    </xf>
    <xf numFmtId="0" fontId="2" fillId="0" borderId="19" xfId="1" applyFont="1" applyBorder="1" applyAlignment="1">
      <alignment vertical="top" wrapText="1"/>
    </xf>
    <xf numFmtId="0" fontId="2" fillId="0" borderId="32" xfId="1" applyFont="1" applyBorder="1" applyAlignment="1">
      <alignment vertical="top" wrapText="1"/>
    </xf>
    <xf numFmtId="0" fontId="2" fillId="0" borderId="20" xfId="1" applyFont="1" applyBorder="1" applyAlignment="1">
      <alignment vertical="top" wrapText="1"/>
    </xf>
    <xf numFmtId="0" fontId="2" fillId="0" borderId="23" xfId="1" applyFont="1" applyBorder="1" applyAlignment="1">
      <alignment horizontal="center" vertical="top"/>
    </xf>
    <xf numFmtId="0" fontId="2" fillId="0" borderId="38" xfId="1" applyFont="1" applyBorder="1" applyAlignment="1">
      <alignment horizontal="center" vertical="top"/>
    </xf>
    <xf numFmtId="0" fontId="2" fillId="0" borderId="26" xfId="1" applyFont="1" applyBorder="1" applyAlignment="1">
      <alignment vertical="top" wrapText="1"/>
    </xf>
    <xf numFmtId="0" fontId="2" fillId="0" borderId="27" xfId="1" applyFont="1" applyBorder="1" applyAlignment="1">
      <alignment vertical="top" wrapText="1"/>
    </xf>
    <xf numFmtId="0" fontId="2" fillId="0" borderId="28" xfId="1" applyFont="1" applyBorder="1" applyAlignment="1">
      <alignment vertical="top" wrapText="1"/>
    </xf>
    <xf numFmtId="0" fontId="2" fillId="0" borderId="29" xfId="1" applyFont="1" applyBorder="1" applyAlignment="1">
      <alignment vertical="top" wrapText="1"/>
    </xf>
    <xf numFmtId="0" fontId="8" fillId="0" borderId="10" xfId="1" applyFont="1" applyBorder="1" applyAlignment="1">
      <alignment horizontal="left" vertical="top" wrapText="1"/>
    </xf>
    <xf numFmtId="0" fontId="8" fillId="0" borderId="34" xfId="1" applyFont="1" applyBorder="1" applyAlignment="1">
      <alignment horizontal="left" vertical="top" wrapText="1"/>
    </xf>
    <xf numFmtId="0" fontId="2" fillId="0" borderId="35" xfId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11" xfId="1" applyFont="1" applyBorder="1" applyAlignment="1">
      <alignment vertical="top" wrapText="1"/>
    </xf>
    <xf numFmtId="0" fontId="2" fillId="0" borderId="12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30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7" fillId="0" borderId="4" xfId="1" applyFont="1" applyBorder="1" applyAlignment="1">
      <alignment horizontal="center" vertical="top" wrapText="1"/>
    </xf>
    <xf numFmtId="0" fontId="7" fillId="0" borderId="0" xfId="1" applyFont="1" applyAlignment="1">
      <alignment horizontal="center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8" fillId="0" borderId="13" xfId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top" wrapText="1"/>
    </xf>
    <xf numFmtId="0" fontId="8" fillId="0" borderId="19" xfId="1" applyFont="1" applyBorder="1" applyAlignment="1">
      <alignment horizontal="center" vertical="top" wrapText="1"/>
    </xf>
    <xf numFmtId="0" fontId="8" fillId="0" borderId="20" xfId="1" applyFont="1" applyBorder="1" applyAlignment="1">
      <alignment horizontal="center" vertical="top" wrapText="1"/>
    </xf>
    <xf numFmtId="0" fontId="8" fillId="0" borderId="26" xfId="1" applyFont="1" applyBorder="1" applyAlignment="1">
      <alignment horizontal="center" vertical="top"/>
    </xf>
    <xf numFmtId="0" fontId="8" fillId="0" borderId="27" xfId="1" applyFont="1" applyBorder="1" applyAlignment="1">
      <alignment horizontal="center" vertical="top"/>
    </xf>
    <xf numFmtId="0" fontId="8" fillId="0" borderId="28" xfId="1" applyFont="1" applyBorder="1" applyAlignment="1">
      <alignment horizontal="center" vertical="top"/>
    </xf>
    <xf numFmtId="0" fontId="8" fillId="0" borderId="29" xfId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40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23" xfId="0" applyFont="1" applyBorder="1" applyAlignment="1">
      <alignment horizontal="left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20" fillId="0" borderId="78" xfId="0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95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19" fillId="0" borderId="80" xfId="0" quotePrefix="1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9" fillId="0" borderId="81" xfId="0" quotePrefix="1" applyFont="1" applyBorder="1" applyAlignment="1">
      <alignment horizontal="center" vertical="center"/>
    </xf>
    <xf numFmtId="0" fontId="19" fillId="0" borderId="88" xfId="0" quotePrefix="1" applyFont="1" applyBorder="1" applyAlignment="1">
      <alignment horizontal="center" vertical="center"/>
    </xf>
    <xf numFmtId="0" fontId="21" fillId="0" borderId="82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/>
    </xf>
    <xf numFmtId="0" fontId="21" fillId="0" borderId="7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20" fillId="0" borderId="73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0" fillId="0" borderId="74" xfId="0" applyFont="1" applyBorder="1" applyAlignment="1">
      <alignment horizontal="center"/>
    </xf>
    <xf numFmtId="0" fontId="20" fillId="0" borderId="75" xfId="0" applyFont="1" applyBorder="1" applyAlignment="1">
      <alignment horizontal="center"/>
    </xf>
    <xf numFmtId="0" fontId="20" fillId="0" borderId="76" xfId="0" applyFont="1" applyBorder="1" applyAlignment="1">
      <alignment horizontal="center"/>
    </xf>
    <xf numFmtId="0" fontId="20" fillId="0" borderId="7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0" fillId="0" borderId="122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/>
    </xf>
    <xf numFmtId="0" fontId="21" fillId="0" borderId="129" xfId="0" applyFont="1" applyBorder="1" applyAlignment="1">
      <alignment horizontal="center"/>
    </xf>
    <xf numFmtId="0" fontId="21" fillId="0" borderId="89" xfId="0" applyFont="1" applyBorder="1" applyAlignment="1">
      <alignment horizontal="center"/>
    </xf>
    <xf numFmtId="0" fontId="21" fillId="0" borderId="90" xfId="0" applyFont="1" applyBorder="1" applyAlignment="1">
      <alignment horizontal="center"/>
    </xf>
    <xf numFmtId="0" fontId="19" fillId="0" borderId="78" xfId="0" applyFont="1" applyBorder="1" applyAlignment="1">
      <alignment horizontal="center" vertical="center"/>
    </xf>
    <xf numFmtId="0" fontId="19" fillId="0" borderId="95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/>
    </xf>
    <xf numFmtId="0" fontId="21" fillId="0" borderId="128" xfId="0" applyFont="1" applyBorder="1" applyAlignment="1">
      <alignment horizontal="center" wrapText="1"/>
    </xf>
    <xf numFmtId="0" fontId="21" fillId="0" borderId="77" xfId="0" applyFont="1" applyBorder="1" applyAlignment="1">
      <alignment horizontal="center" wrapText="1"/>
    </xf>
    <xf numFmtId="0" fontId="21" fillId="0" borderId="110" xfId="0" applyFont="1" applyBorder="1" applyAlignment="1">
      <alignment horizontal="center" wrapText="1"/>
    </xf>
    <xf numFmtId="0" fontId="19" fillId="0" borderId="109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123" xfId="0" applyFont="1" applyBorder="1" applyAlignment="1">
      <alignment horizontal="center" vertical="center"/>
    </xf>
    <xf numFmtId="0" fontId="19" fillId="0" borderId="124" xfId="0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</cellXfs>
  <cellStyles count="3">
    <cellStyle name="Comma" xfId="2" builtinId="3"/>
    <cellStyle name="Normal" xfId="0" builtinId="0"/>
    <cellStyle name="Normal_ANNEX G-3 JEV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7</xdr:row>
      <xdr:rowOff>19050</xdr:rowOff>
    </xdr:from>
    <xdr:to>
      <xdr:col>6</xdr:col>
      <xdr:colOff>600075</xdr:colOff>
      <xdr:row>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210050" y="1381125"/>
          <a:ext cx="2476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304800</xdr:colOff>
      <xdr:row>7</xdr:row>
      <xdr:rowOff>9525</xdr:rowOff>
    </xdr:from>
    <xdr:to>
      <xdr:col>2</xdr:col>
      <xdr:colOff>476250</xdr:colOff>
      <xdr:row>7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247775" y="1371600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171450</xdr:colOff>
      <xdr:row>7</xdr:row>
      <xdr:rowOff>19050</xdr:rowOff>
    </xdr:from>
    <xdr:to>
      <xdr:col>1</xdr:col>
      <xdr:colOff>342900</xdr:colOff>
      <xdr:row>7</xdr:row>
      <xdr:rowOff>142875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23850" y="1381125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466725</xdr:colOff>
      <xdr:row>7</xdr:row>
      <xdr:rowOff>28575</xdr:rowOff>
    </xdr:from>
    <xdr:to>
      <xdr:col>4</xdr:col>
      <xdr:colOff>638175</xdr:colOff>
      <xdr:row>7</xdr:row>
      <xdr:rowOff>152400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771775" y="1390650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1219200</xdr:colOff>
      <xdr:row>4</xdr:row>
      <xdr:rowOff>266700</xdr:rowOff>
    </xdr:from>
    <xdr:to>
      <xdr:col>5</xdr:col>
      <xdr:colOff>828675</xdr:colOff>
      <xdr:row>4</xdr:row>
      <xdr:rowOff>276225</xdr:rowOff>
    </xdr:to>
    <xdr:sp macro="" textlink="">
      <xdr:nvSpPr>
        <xdr:cNvPr id="6" name="Freeform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 bwMode="auto">
        <a:xfrm>
          <a:off x="1133475" y="1257300"/>
          <a:ext cx="2962275" cy="9525"/>
        </a:xfrm>
        <a:custGeom>
          <a:avLst/>
          <a:gdLst>
            <a:gd name="T0" fmla="*/ 0 w 391"/>
            <a:gd name="T1" fmla="*/ 0 h 1"/>
            <a:gd name="T2" fmla="*/ 391 w 391"/>
            <a:gd name="T3" fmla="*/ 0 h 1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391" h="1">
              <a:moveTo>
                <a:pt x="0" y="0"/>
              </a:moveTo>
              <a:lnTo>
                <a:pt x="391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219075</xdr:colOff>
      <xdr:row>31</xdr:row>
      <xdr:rowOff>257175</xdr:rowOff>
    </xdr:from>
    <xdr:to>
      <xdr:col>4</xdr:col>
      <xdr:colOff>152400</xdr:colOff>
      <xdr:row>31</xdr:row>
      <xdr:rowOff>257175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285750" y="9677400"/>
          <a:ext cx="2676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32</xdr:row>
      <xdr:rowOff>0</xdr:rowOff>
    </xdr:from>
    <xdr:to>
      <xdr:col>10</xdr:col>
      <xdr:colOff>638175</xdr:colOff>
      <xdr:row>32</xdr:row>
      <xdr:rowOff>0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3695700" y="9686925"/>
          <a:ext cx="255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1000125</xdr:colOff>
      <xdr:row>28</xdr:row>
      <xdr:rowOff>28575</xdr:rowOff>
    </xdr:from>
    <xdr:to>
      <xdr:col>6</xdr:col>
      <xdr:colOff>276225</xdr:colOff>
      <xdr:row>28</xdr:row>
      <xdr:rowOff>238125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4267200" y="8601075"/>
          <a:ext cx="295275" cy="209550"/>
        </a:xfrm>
        <a:prstGeom prst="rightArrow">
          <a:avLst>
            <a:gd name="adj1" fmla="val 50000"/>
            <a:gd name="adj2" fmla="val 35227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28575</xdr:colOff>
      <xdr:row>27</xdr:row>
      <xdr:rowOff>161925</xdr:rowOff>
    </xdr:from>
    <xdr:to>
      <xdr:col>6</xdr:col>
      <xdr:colOff>0</xdr:colOff>
      <xdr:row>28</xdr:row>
      <xdr:rowOff>190500</xdr:rowOff>
    </xdr:to>
    <xdr:sp macro="" textlink="">
      <xdr:nvSpPr>
        <xdr:cNvPr id="10" name="Text 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048000" y="5362575"/>
          <a:ext cx="809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41148" rIns="0" bIns="0" anchor="t" upright="1"/>
        <a:lstStyle/>
        <a:p>
          <a:pPr algn="l" rtl="0">
            <a:defRPr sz="1000"/>
          </a:pPr>
          <a:r>
            <a:rPr lang="en-PH" sz="1050" b="0" i="0" u="none" strike="noStrike" baseline="0">
              <a:solidFill>
                <a:srgbClr val="000000"/>
              </a:solidFill>
              <a:latin typeface="Arial Black"/>
            </a:rPr>
            <a:t>T O T A 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3</xdr:row>
      <xdr:rowOff>0</xdr:rowOff>
    </xdr:from>
    <xdr:to>
      <xdr:col>5</xdr:col>
      <xdr:colOff>85725</xdr:colOff>
      <xdr:row>3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8EEFE28A-0861-41C9-9969-924398916A51}"/>
            </a:ext>
          </a:extLst>
        </xdr:cNvPr>
        <xdr:cNvSpPr>
          <a:spLocks noChangeShapeType="1"/>
        </xdr:cNvSpPr>
      </xdr:nvSpPr>
      <xdr:spPr bwMode="auto">
        <a:xfrm>
          <a:off x="1533525" y="666750"/>
          <a:ext cx="1743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409575</xdr:colOff>
      <xdr:row>5</xdr:row>
      <xdr:rowOff>9525</xdr:rowOff>
    </xdr:from>
    <xdr:to>
      <xdr:col>22</xdr:col>
      <xdr:colOff>57150</xdr:colOff>
      <xdr:row>6</xdr:row>
      <xdr:rowOff>66675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7CDF780-0A62-4295-BEB4-59DE7BF7C2B0}"/>
            </a:ext>
          </a:extLst>
        </xdr:cNvPr>
        <xdr:cNvSpPr txBox="1">
          <a:spLocks noChangeArrowheads="1"/>
        </xdr:cNvSpPr>
      </xdr:nvSpPr>
      <xdr:spPr bwMode="auto">
        <a:xfrm>
          <a:off x="9515475" y="1228725"/>
          <a:ext cx="14763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Sheet  No. ___</a:t>
          </a:r>
          <a:r>
            <a:rPr lang="en-PH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___</a:t>
          </a: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14</xdr:col>
      <xdr:colOff>304800</xdr:colOff>
      <xdr:row>3</xdr:row>
      <xdr:rowOff>0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7758C515-2E1A-4730-8505-7B6190DC13DD}"/>
            </a:ext>
          </a:extLst>
        </xdr:cNvPr>
        <xdr:cNvSpPr>
          <a:spLocks noChangeShapeType="1"/>
        </xdr:cNvSpPr>
      </xdr:nvSpPr>
      <xdr:spPr bwMode="auto">
        <a:xfrm>
          <a:off x="5191125" y="733425"/>
          <a:ext cx="2305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5</xdr:row>
      <xdr:rowOff>9525</xdr:rowOff>
    </xdr:from>
    <xdr:to>
      <xdr:col>5</xdr:col>
      <xdr:colOff>533400</xdr:colOff>
      <xdr:row>6</xdr:row>
      <xdr:rowOff>19050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6969FEAB-067D-481B-AD5A-C55C42E83809}"/>
            </a:ext>
          </a:extLst>
        </xdr:cNvPr>
        <xdr:cNvSpPr txBox="1">
          <a:spLocks noChangeArrowheads="1"/>
        </xdr:cNvSpPr>
      </xdr:nvSpPr>
      <xdr:spPr bwMode="auto">
        <a:xfrm>
          <a:off x="1219200" y="1228725"/>
          <a:ext cx="24003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Fund _________</a:t>
          </a:r>
          <a:r>
            <a:rPr lang="en-PH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</a:t>
          </a:r>
        </a:p>
      </xdr:txBody>
    </xdr:sp>
    <xdr:clientData/>
  </xdr:twoCellAnchor>
  <xdr:twoCellAnchor>
    <xdr:from>
      <xdr:col>0</xdr:col>
      <xdr:colOff>161925</xdr:colOff>
      <xdr:row>18</xdr:row>
      <xdr:rowOff>66675</xdr:rowOff>
    </xdr:from>
    <xdr:to>
      <xdr:col>0</xdr:col>
      <xdr:colOff>600075</xdr:colOff>
      <xdr:row>21</xdr:row>
      <xdr:rowOff>9525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5EB1046A-C37E-4829-B4B8-3D051CB7B334}"/>
            </a:ext>
          </a:extLst>
        </xdr:cNvPr>
        <xdr:cNvSpPr txBox="1">
          <a:spLocks noChangeArrowheads="1"/>
        </xdr:cNvSpPr>
      </xdr:nvSpPr>
      <xdr:spPr bwMode="auto">
        <a:xfrm>
          <a:off x="161925" y="3609975"/>
          <a:ext cx="4381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" wrap="square" lIns="45720" tIns="36576" rIns="0" bIns="0" anchor="b" upright="1"/>
        <a:lstStyle/>
        <a:p>
          <a:pPr algn="l" rtl="0">
            <a:defRPr sz="1000"/>
          </a:pPr>
          <a:r>
            <a:rPr lang="en-PH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0</xdr:rowOff>
    </xdr:from>
    <xdr:to>
      <xdr:col>10</xdr:col>
      <xdr:colOff>390525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33B564-1BA6-4F1B-A98F-625C1F5D3AA0}"/>
            </a:ext>
          </a:extLst>
        </xdr:cNvPr>
        <xdr:cNvSpPr>
          <a:spLocks noChangeShapeType="1"/>
        </xdr:cNvSpPr>
      </xdr:nvSpPr>
      <xdr:spPr bwMode="auto">
        <a:xfrm>
          <a:off x="3381375" y="704850"/>
          <a:ext cx="2152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5</xdr:row>
      <xdr:rowOff>200025</xdr:rowOff>
    </xdr:from>
    <xdr:to>
      <xdr:col>16</xdr:col>
      <xdr:colOff>381000</xdr:colOff>
      <xdr:row>5</xdr:row>
      <xdr:rowOff>200025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E645CDE-8165-49CF-85B5-744B69CF32D6}"/>
            </a:ext>
          </a:extLst>
        </xdr:cNvPr>
        <xdr:cNvSpPr>
          <a:spLocks noChangeShapeType="1"/>
        </xdr:cNvSpPr>
      </xdr:nvSpPr>
      <xdr:spPr bwMode="auto">
        <a:xfrm>
          <a:off x="6305550" y="1362075"/>
          <a:ext cx="179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6</xdr:row>
      <xdr:rowOff>228600</xdr:rowOff>
    </xdr:from>
    <xdr:to>
      <xdr:col>16</xdr:col>
      <xdr:colOff>371475</xdr:colOff>
      <xdr:row>6</xdr:row>
      <xdr:rowOff>228600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389782DF-88D4-46B1-B330-8A31B2D5AE60}"/>
            </a:ext>
          </a:extLst>
        </xdr:cNvPr>
        <xdr:cNvSpPr>
          <a:spLocks noChangeShapeType="1"/>
        </xdr:cNvSpPr>
      </xdr:nvSpPr>
      <xdr:spPr bwMode="auto">
        <a:xfrm>
          <a:off x="7010400" y="1609725"/>
          <a:ext cx="1076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47625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65E1C307-8359-4281-AAC8-5B48BD3FE346}"/>
            </a:ext>
          </a:extLst>
        </xdr:cNvPr>
        <xdr:cNvSpPr>
          <a:spLocks noChangeShapeType="1"/>
        </xdr:cNvSpPr>
      </xdr:nvSpPr>
      <xdr:spPr bwMode="auto">
        <a:xfrm>
          <a:off x="1247775" y="1619250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13</xdr:row>
      <xdr:rowOff>28575</xdr:rowOff>
    </xdr:from>
    <xdr:to>
      <xdr:col>0</xdr:col>
      <xdr:colOff>542925</xdr:colOff>
      <xdr:row>15</xdr:row>
      <xdr:rowOff>66675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A3407770-FD43-49E7-9EC3-2BFB2BD5C2E6}"/>
            </a:ext>
          </a:extLst>
        </xdr:cNvPr>
        <xdr:cNvSpPr txBox="1">
          <a:spLocks noChangeArrowheads="1"/>
        </xdr:cNvSpPr>
      </xdr:nvSpPr>
      <xdr:spPr bwMode="auto">
        <a:xfrm>
          <a:off x="123825" y="2714625"/>
          <a:ext cx="419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" wrap="square" lIns="36576" tIns="22860" rIns="36576" bIns="0" anchor="ctr" upright="1"/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6</xdr:col>
      <xdr:colOff>266700</xdr:colOff>
      <xdr:row>3</xdr:row>
      <xdr:rowOff>0</xdr:rowOff>
    </xdr:from>
    <xdr:to>
      <xdr:col>10</xdr:col>
      <xdr:colOff>390525</xdr:colOff>
      <xdr:row>3</xdr:row>
      <xdr:rowOff>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29412BA4-B252-4E94-9196-96FB6D2609B7}"/>
            </a:ext>
          </a:extLst>
        </xdr:cNvPr>
        <xdr:cNvSpPr>
          <a:spLocks noChangeShapeType="1"/>
        </xdr:cNvSpPr>
      </xdr:nvSpPr>
      <xdr:spPr bwMode="auto">
        <a:xfrm>
          <a:off x="3381375" y="704850"/>
          <a:ext cx="2114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5</xdr:row>
      <xdr:rowOff>200025</xdr:rowOff>
    </xdr:from>
    <xdr:to>
      <xdr:col>16</xdr:col>
      <xdr:colOff>381000</xdr:colOff>
      <xdr:row>5</xdr:row>
      <xdr:rowOff>200025</xdr:rowOff>
    </xdr:to>
    <xdr:sp macro="" textlink="">
      <xdr:nvSpPr>
        <xdr:cNvPr id="8" name="Line 2">
          <a:extLst>
            <a:ext uri="{FF2B5EF4-FFF2-40B4-BE49-F238E27FC236}">
              <a16:creationId xmlns:a16="http://schemas.microsoft.com/office/drawing/2014/main" id="{053E6E20-1AEC-460D-8B48-C51D358BB68B}"/>
            </a:ext>
          </a:extLst>
        </xdr:cNvPr>
        <xdr:cNvSpPr>
          <a:spLocks noChangeShapeType="1"/>
        </xdr:cNvSpPr>
      </xdr:nvSpPr>
      <xdr:spPr bwMode="auto">
        <a:xfrm>
          <a:off x="6267450" y="1362075"/>
          <a:ext cx="179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6</xdr:row>
      <xdr:rowOff>228600</xdr:rowOff>
    </xdr:from>
    <xdr:to>
      <xdr:col>16</xdr:col>
      <xdr:colOff>371475</xdr:colOff>
      <xdr:row>6</xdr:row>
      <xdr:rowOff>228600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F5E1183C-9419-4EC2-BF49-15BF16CCA33B}"/>
            </a:ext>
          </a:extLst>
        </xdr:cNvPr>
        <xdr:cNvSpPr>
          <a:spLocks noChangeShapeType="1"/>
        </xdr:cNvSpPr>
      </xdr:nvSpPr>
      <xdr:spPr bwMode="auto">
        <a:xfrm>
          <a:off x="6972300" y="1609725"/>
          <a:ext cx="1076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47625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BF5E055A-025E-4B1B-AD33-E10BDB9C1437}"/>
            </a:ext>
          </a:extLst>
        </xdr:cNvPr>
        <xdr:cNvSpPr>
          <a:spLocks noChangeShapeType="1"/>
        </xdr:cNvSpPr>
      </xdr:nvSpPr>
      <xdr:spPr bwMode="auto">
        <a:xfrm>
          <a:off x="1247775" y="1619250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13</xdr:row>
      <xdr:rowOff>28575</xdr:rowOff>
    </xdr:from>
    <xdr:to>
      <xdr:col>0</xdr:col>
      <xdr:colOff>542925</xdr:colOff>
      <xdr:row>15</xdr:row>
      <xdr:rowOff>66675</xdr:rowOff>
    </xdr:to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31675D82-85E2-4A1E-9FBC-8099C916E20C}"/>
            </a:ext>
          </a:extLst>
        </xdr:cNvPr>
        <xdr:cNvSpPr txBox="1">
          <a:spLocks noChangeArrowheads="1"/>
        </xdr:cNvSpPr>
      </xdr:nvSpPr>
      <xdr:spPr bwMode="auto">
        <a:xfrm>
          <a:off x="123825" y="2714625"/>
          <a:ext cx="419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" wrap="square" lIns="36576" tIns="22860" rIns="36576" bIns="0" anchor="ctr" upright="1"/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1362075</xdr:colOff>
      <xdr:row>3</xdr:row>
      <xdr:rowOff>0</xdr:rowOff>
    </xdr:from>
    <xdr:to>
      <xdr:col>12</xdr:col>
      <xdr:colOff>57150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17D829E-EEAE-4C4D-918A-4D80E6A11290}"/>
            </a:ext>
          </a:extLst>
        </xdr:cNvPr>
        <xdr:cNvSpPr>
          <a:spLocks noChangeShapeType="1"/>
        </xdr:cNvSpPr>
      </xdr:nvSpPr>
      <xdr:spPr bwMode="auto">
        <a:xfrm>
          <a:off x="3228975" y="704850"/>
          <a:ext cx="2476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5</xdr:row>
      <xdr:rowOff>200025</xdr:rowOff>
    </xdr:from>
    <xdr:to>
      <xdr:col>4</xdr:col>
      <xdr:colOff>962025</xdr:colOff>
      <xdr:row>5</xdr:row>
      <xdr:rowOff>200025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C6DA1AA-93F0-42ED-AECB-5497E7B106D3}"/>
            </a:ext>
          </a:extLst>
        </xdr:cNvPr>
        <xdr:cNvSpPr>
          <a:spLocks noChangeShapeType="1"/>
        </xdr:cNvSpPr>
      </xdr:nvSpPr>
      <xdr:spPr bwMode="auto">
        <a:xfrm>
          <a:off x="1066800" y="1362075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9525</xdr:colOff>
      <xdr:row>6</xdr:row>
      <xdr:rowOff>0</xdr:rowOff>
    </xdr:from>
    <xdr:to>
      <xdr:col>17</xdr:col>
      <xdr:colOff>381000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02111A9-FF44-4442-8D2A-AD22157893D6}"/>
            </a:ext>
          </a:extLst>
        </xdr:cNvPr>
        <xdr:cNvSpPr>
          <a:spLocks noChangeShapeType="1"/>
        </xdr:cNvSpPr>
      </xdr:nvSpPr>
      <xdr:spPr bwMode="auto">
        <a:xfrm>
          <a:off x="7048500" y="1381125"/>
          <a:ext cx="1047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12</xdr:row>
      <xdr:rowOff>152400</xdr:rowOff>
    </xdr:from>
    <xdr:to>
      <xdr:col>0</xdr:col>
      <xdr:colOff>485775</xdr:colOff>
      <xdr:row>15</xdr:row>
      <xdr:rowOff>9525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7B949A08-8DF4-4257-B014-12288CB652EC}"/>
            </a:ext>
          </a:extLst>
        </xdr:cNvPr>
        <xdr:cNvSpPr txBox="1">
          <a:spLocks noChangeArrowheads="1"/>
        </xdr:cNvSpPr>
      </xdr:nvSpPr>
      <xdr:spPr bwMode="auto">
        <a:xfrm>
          <a:off x="66675" y="2524125"/>
          <a:ext cx="419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" wrap="square" lIns="36576" tIns="22860" rIns="0" bIns="0" anchor="b" upright="1"/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K3" sqref="K3"/>
    </sheetView>
  </sheetViews>
  <sheetFormatPr defaultRowHeight="14.5" x14ac:dyDescent="0.35"/>
  <cols>
    <col min="1" max="1" width="2.26953125" customWidth="1"/>
    <col min="2" max="2" width="11.81640625" customWidth="1"/>
    <col min="4" max="4" width="11.26953125" customWidth="1"/>
    <col min="5" max="5" width="10.7265625" customWidth="1"/>
    <col min="6" max="6" width="12.54296875" customWidth="1"/>
    <col min="10" max="10" width="0.7265625" customWidth="1"/>
  </cols>
  <sheetData>
    <row r="1" spans="1:12" x14ac:dyDescent="0.35">
      <c r="A1" s="10"/>
      <c r="B1" s="10"/>
      <c r="C1" s="10"/>
      <c r="D1" s="10"/>
      <c r="E1" s="10"/>
      <c r="F1" s="10"/>
      <c r="G1" s="10"/>
      <c r="H1" s="10"/>
      <c r="I1" s="11" t="s">
        <v>0</v>
      </c>
      <c r="J1" s="12"/>
      <c r="K1" s="12"/>
      <c r="L1" s="12"/>
    </row>
    <row r="2" spans="1:12" ht="15" thickBot="1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35">
      <c r="A3" s="10"/>
      <c r="B3" s="13"/>
      <c r="C3" s="14"/>
      <c r="D3" s="14"/>
      <c r="E3" s="14"/>
      <c r="F3" s="14"/>
      <c r="G3" s="14"/>
      <c r="H3" s="14"/>
      <c r="I3" s="13"/>
      <c r="J3" s="14"/>
      <c r="K3" s="14"/>
      <c r="L3" s="15"/>
    </row>
    <row r="4" spans="1:12" ht="15.5" x14ac:dyDescent="0.45">
      <c r="A4" s="10"/>
      <c r="B4" s="274" t="s">
        <v>1</v>
      </c>
      <c r="C4" s="275"/>
      <c r="D4" s="275"/>
      <c r="E4" s="275"/>
      <c r="F4" s="275"/>
      <c r="G4" s="275"/>
      <c r="H4" s="275"/>
      <c r="I4" s="16" t="s">
        <v>2</v>
      </c>
      <c r="J4" s="17"/>
      <c r="K4" s="17"/>
      <c r="L4" s="18"/>
    </row>
    <row r="5" spans="1:12" x14ac:dyDescent="0.35">
      <c r="A5" s="10"/>
      <c r="B5" s="19" t="s">
        <v>3</v>
      </c>
      <c r="C5" s="20"/>
      <c r="D5" s="20"/>
      <c r="E5" s="20"/>
      <c r="F5" s="20"/>
      <c r="G5" s="20"/>
      <c r="H5" s="20"/>
      <c r="I5" s="19"/>
      <c r="J5" s="276" t="s">
        <v>4</v>
      </c>
      <c r="K5" s="276"/>
      <c r="L5" s="277"/>
    </row>
    <row r="6" spans="1:12" ht="15" thickBot="1" x14ac:dyDescent="0.4">
      <c r="A6" s="10"/>
      <c r="B6" s="278" t="s">
        <v>5</v>
      </c>
      <c r="C6" s="279"/>
      <c r="D6" s="279"/>
      <c r="E6" s="279"/>
      <c r="F6" s="279"/>
      <c r="G6" s="279"/>
      <c r="H6" s="279"/>
      <c r="I6" s="16" t="s">
        <v>6</v>
      </c>
      <c r="J6" s="21"/>
      <c r="K6" s="21"/>
      <c r="L6" s="22"/>
    </row>
    <row r="7" spans="1:12" x14ac:dyDescent="0.35">
      <c r="A7" s="10"/>
      <c r="B7" s="13"/>
      <c r="C7" s="14"/>
      <c r="D7" s="14"/>
      <c r="E7" s="14"/>
      <c r="F7" s="14"/>
      <c r="G7" s="14"/>
      <c r="H7" s="14"/>
      <c r="I7" s="23"/>
      <c r="J7" s="24"/>
      <c r="K7" s="24"/>
      <c r="L7" s="25"/>
    </row>
    <row r="8" spans="1:12" ht="15" thickBot="1" x14ac:dyDescent="0.4">
      <c r="A8" s="10"/>
      <c r="B8" s="280" t="s">
        <v>7</v>
      </c>
      <c r="C8" s="281"/>
      <c r="D8" s="281"/>
      <c r="E8" s="281"/>
      <c r="F8" s="281"/>
      <c r="G8" s="281"/>
      <c r="H8" s="281"/>
      <c r="I8" s="281"/>
      <c r="J8" s="281"/>
      <c r="K8" s="281"/>
      <c r="L8" s="282"/>
    </row>
    <row r="9" spans="1:12" ht="15" thickTop="1" x14ac:dyDescent="0.35">
      <c r="A9" s="10"/>
      <c r="B9" s="26"/>
      <c r="C9" s="27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35">
      <c r="A10" s="10"/>
      <c r="B10" s="283" t="s">
        <v>8</v>
      </c>
      <c r="C10" s="286" t="s">
        <v>9</v>
      </c>
      <c r="D10" s="287"/>
      <c r="E10" s="287"/>
      <c r="F10" s="287"/>
      <c r="G10" s="287"/>
      <c r="H10" s="287"/>
      <c r="I10" s="287"/>
      <c r="J10" s="287"/>
      <c r="K10" s="287"/>
      <c r="L10" s="288"/>
    </row>
    <row r="11" spans="1:12" x14ac:dyDescent="0.35">
      <c r="A11" s="10"/>
      <c r="B11" s="284"/>
      <c r="C11" s="289" t="s">
        <v>10</v>
      </c>
      <c r="D11" s="290"/>
      <c r="E11" s="291"/>
      <c r="F11" s="295" t="s">
        <v>11</v>
      </c>
      <c r="G11" s="297" t="s">
        <v>12</v>
      </c>
      <c r="H11" s="299" t="s">
        <v>13</v>
      </c>
      <c r="I11" s="300"/>
      <c r="J11" s="300"/>
      <c r="K11" s="300"/>
      <c r="L11" s="301"/>
    </row>
    <row r="12" spans="1:12" ht="15" thickBot="1" x14ac:dyDescent="0.4">
      <c r="A12" s="10"/>
      <c r="B12" s="285"/>
      <c r="C12" s="292"/>
      <c r="D12" s="293"/>
      <c r="E12" s="294"/>
      <c r="F12" s="296"/>
      <c r="G12" s="298"/>
      <c r="H12" s="302" t="s">
        <v>14</v>
      </c>
      <c r="I12" s="303"/>
      <c r="J12" s="304"/>
      <c r="K12" s="303" t="s">
        <v>15</v>
      </c>
      <c r="L12" s="305"/>
    </row>
    <row r="13" spans="1:12" x14ac:dyDescent="0.35">
      <c r="A13" s="10"/>
      <c r="B13" s="30"/>
      <c r="C13" s="270"/>
      <c r="D13" s="271"/>
      <c r="E13" s="32"/>
      <c r="F13" s="32"/>
      <c r="G13" s="33"/>
      <c r="H13" s="270"/>
      <c r="I13" s="271"/>
      <c r="J13" s="272"/>
      <c r="K13" s="270"/>
      <c r="L13" s="273"/>
    </row>
    <row r="14" spans="1:12" x14ac:dyDescent="0.35">
      <c r="A14" s="10"/>
      <c r="B14" s="35"/>
      <c r="C14" s="254"/>
      <c r="D14" s="255"/>
      <c r="E14" s="38"/>
      <c r="F14" s="38"/>
      <c r="G14" s="39"/>
      <c r="H14" s="254"/>
      <c r="I14" s="255"/>
      <c r="J14" s="256"/>
      <c r="K14" s="254"/>
      <c r="L14" s="257"/>
    </row>
    <row r="15" spans="1:12" x14ac:dyDescent="0.35">
      <c r="A15" s="10"/>
      <c r="B15" s="35"/>
      <c r="C15" s="254" t="s">
        <v>4</v>
      </c>
      <c r="D15" s="255"/>
      <c r="E15" s="38"/>
      <c r="F15" s="38"/>
      <c r="G15" s="39"/>
      <c r="H15" s="254"/>
      <c r="I15" s="255"/>
      <c r="J15" s="256"/>
      <c r="K15" s="254"/>
      <c r="L15" s="257"/>
    </row>
    <row r="16" spans="1:12" x14ac:dyDescent="0.35">
      <c r="A16" s="10"/>
      <c r="B16" s="35"/>
      <c r="C16" s="254"/>
      <c r="D16" s="255"/>
      <c r="E16" s="38"/>
      <c r="F16" s="38"/>
      <c r="G16" s="39"/>
      <c r="H16" s="254"/>
      <c r="I16" s="255"/>
      <c r="J16" s="256"/>
      <c r="K16" s="254"/>
      <c r="L16" s="257"/>
    </row>
    <row r="17" spans="1:12" x14ac:dyDescent="0.35">
      <c r="A17" s="10"/>
      <c r="B17" s="35"/>
      <c r="C17" s="36"/>
      <c r="D17" s="37"/>
      <c r="E17" s="38"/>
      <c r="F17" s="38"/>
      <c r="G17" s="39"/>
      <c r="H17" s="36"/>
      <c r="I17" s="37"/>
      <c r="J17" s="40"/>
      <c r="K17" s="36"/>
      <c r="L17" s="41"/>
    </row>
    <row r="18" spans="1:12" x14ac:dyDescent="0.35">
      <c r="A18" s="10"/>
      <c r="B18" s="35"/>
      <c r="C18" s="36"/>
      <c r="D18" s="37"/>
      <c r="E18" s="38"/>
      <c r="F18" s="38"/>
      <c r="G18" s="39"/>
      <c r="H18" s="36"/>
      <c r="I18" s="37"/>
      <c r="J18" s="40"/>
      <c r="K18" s="36"/>
      <c r="L18" s="41"/>
    </row>
    <row r="19" spans="1:12" x14ac:dyDescent="0.35">
      <c r="A19" s="10"/>
      <c r="B19" s="35"/>
      <c r="C19" s="36"/>
      <c r="D19" s="37"/>
      <c r="E19" s="38"/>
      <c r="F19" s="38"/>
      <c r="G19" s="39"/>
      <c r="H19" s="36"/>
      <c r="I19" s="37"/>
      <c r="J19" s="40"/>
      <c r="K19" s="36"/>
      <c r="L19" s="41"/>
    </row>
    <row r="20" spans="1:12" x14ac:dyDescent="0.35">
      <c r="A20" s="10"/>
      <c r="B20" s="35"/>
      <c r="C20" s="36"/>
      <c r="D20" s="37"/>
      <c r="E20" s="38"/>
      <c r="F20" s="38"/>
      <c r="G20" s="39"/>
      <c r="H20" s="36"/>
      <c r="I20" s="37"/>
      <c r="J20" s="40"/>
      <c r="K20" s="36"/>
      <c r="L20" s="41"/>
    </row>
    <row r="21" spans="1:12" x14ac:dyDescent="0.35">
      <c r="A21" s="10"/>
      <c r="B21" s="35"/>
      <c r="C21" s="36"/>
      <c r="D21" s="37"/>
      <c r="E21" s="38"/>
      <c r="F21" s="38"/>
      <c r="G21" s="39"/>
      <c r="H21" s="36"/>
      <c r="I21" s="37"/>
      <c r="J21" s="40"/>
      <c r="K21" s="36"/>
      <c r="L21" s="41"/>
    </row>
    <row r="22" spans="1:12" x14ac:dyDescent="0.35">
      <c r="A22" s="10"/>
      <c r="B22" s="35"/>
      <c r="C22" s="36"/>
      <c r="D22" s="37"/>
      <c r="E22" s="38"/>
      <c r="F22" s="38"/>
      <c r="G22" s="39"/>
      <c r="H22" s="36"/>
      <c r="I22" s="37"/>
      <c r="J22" s="40"/>
      <c r="K22" s="36"/>
      <c r="L22" s="41"/>
    </row>
    <row r="23" spans="1:12" x14ac:dyDescent="0.35">
      <c r="A23" s="10"/>
      <c r="B23" s="35"/>
      <c r="C23" s="36"/>
      <c r="D23" s="37"/>
      <c r="E23" s="38"/>
      <c r="F23" s="38"/>
      <c r="G23" s="39"/>
      <c r="H23" s="36"/>
      <c r="I23" s="37"/>
      <c r="J23" s="40"/>
      <c r="K23" s="36"/>
      <c r="L23" s="41"/>
    </row>
    <row r="24" spans="1:12" x14ac:dyDescent="0.35">
      <c r="A24" s="10"/>
      <c r="B24" s="35"/>
      <c r="C24" s="254"/>
      <c r="D24" s="255"/>
      <c r="E24" s="38"/>
      <c r="F24" s="38"/>
      <c r="G24" s="39"/>
      <c r="H24" s="254"/>
      <c r="I24" s="255"/>
      <c r="J24" s="256"/>
      <c r="K24" s="254"/>
      <c r="L24" s="257"/>
    </row>
    <row r="25" spans="1:12" x14ac:dyDescent="0.35">
      <c r="A25" s="10"/>
      <c r="B25" s="35"/>
      <c r="C25" s="254"/>
      <c r="D25" s="255"/>
      <c r="E25" s="38"/>
      <c r="F25" s="38"/>
      <c r="G25" s="39"/>
      <c r="H25" s="254"/>
      <c r="I25" s="255"/>
      <c r="J25" s="256"/>
      <c r="K25" s="254"/>
      <c r="L25" s="257"/>
    </row>
    <row r="26" spans="1:12" x14ac:dyDescent="0.35">
      <c r="A26" s="10"/>
      <c r="B26" s="35"/>
      <c r="C26" s="254"/>
      <c r="D26" s="255"/>
      <c r="E26" s="38"/>
      <c r="F26" s="38"/>
      <c r="G26" s="39"/>
      <c r="H26" s="254"/>
      <c r="I26" s="255"/>
      <c r="J26" s="256"/>
      <c r="K26" s="254"/>
      <c r="L26" s="257"/>
    </row>
    <row r="27" spans="1:12" x14ac:dyDescent="0.35">
      <c r="A27" s="10"/>
      <c r="B27" s="35"/>
      <c r="C27" s="254"/>
      <c r="D27" s="255"/>
      <c r="E27" s="38"/>
      <c r="F27" s="38"/>
      <c r="G27" s="39"/>
      <c r="H27" s="254"/>
      <c r="I27" s="255"/>
      <c r="J27" s="256"/>
      <c r="K27" s="254"/>
      <c r="L27" s="257"/>
    </row>
    <row r="28" spans="1:12" ht="15" thickBot="1" x14ac:dyDescent="0.4">
      <c r="A28" s="10"/>
      <c r="B28" s="42"/>
      <c r="C28" s="260"/>
      <c r="D28" s="261"/>
      <c r="E28" s="43"/>
      <c r="F28" s="43"/>
      <c r="G28" s="43"/>
      <c r="H28" s="260"/>
      <c r="I28" s="261"/>
      <c r="J28" s="262"/>
      <c r="K28" s="260"/>
      <c r="L28" s="263"/>
    </row>
    <row r="29" spans="1:12" ht="15" thickBot="1" x14ac:dyDescent="0.4">
      <c r="A29" s="10"/>
      <c r="B29" s="44"/>
      <c r="C29" s="45"/>
      <c r="D29" s="45"/>
      <c r="E29" s="45"/>
      <c r="F29" s="264"/>
      <c r="G29" s="265"/>
      <c r="H29" s="266"/>
      <c r="I29" s="267"/>
      <c r="J29" s="268"/>
      <c r="K29" s="266"/>
      <c r="L29" s="269"/>
    </row>
    <row r="30" spans="1:12" ht="15" thickTop="1" x14ac:dyDescent="0.35">
      <c r="A30" s="10"/>
      <c r="B30" s="46"/>
      <c r="C30" s="33"/>
      <c r="D30" s="33"/>
      <c r="E30" s="33"/>
      <c r="F30" s="47"/>
      <c r="G30" s="48"/>
      <c r="H30" s="31"/>
      <c r="I30" s="31"/>
      <c r="J30" s="31"/>
      <c r="K30" s="31"/>
      <c r="L30" s="34"/>
    </row>
    <row r="31" spans="1:12" x14ac:dyDescent="0.35">
      <c r="A31" s="10"/>
      <c r="B31" s="49" t="s">
        <v>16</v>
      </c>
      <c r="C31" s="1"/>
      <c r="D31" s="10"/>
      <c r="E31" s="1"/>
      <c r="F31" s="5" t="s">
        <v>17</v>
      </c>
      <c r="G31" s="1"/>
      <c r="H31" s="1"/>
      <c r="I31" s="1"/>
      <c r="J31" s="1"/>
      <c r="K31" s="1"/>
      <c r="L31" s="2"/>
    </row>
    <row r="32" spans="1:12" x14ac:dyDescent="0.35">
      <c r="A32" s="10"/>
      <c r="B32" s="3" t="s">
        <v>4</v>
      </c>
      <c r="C32" s="4"/>
      <c r="D32" s="10"/>
      <c r="E32" s="4"/>
      <c r="F32" s="5" t="s">
        <v>4</v>
      </c>
      <c r="G32" s="4"/>
      <c r="H32" s="1"/>
      <c r="I32" s="4"/>
      <c r="J32" s="4"/>
      <c r="K32" s="4"/>
      <c r="L32" s="6"/>
    </row>
    <row r="33" spans="1:12" x14ac:dyDescent="0.35">
      <c r="A33" s="10"/>
      <c r="B33" s="3"/>
      <c r="C33" s="4" t="s">
        <v>18</v>
      </c>
      <c r="D33" s="10"/>
      <c r="E33" s="4"/>
      <c r="F33" s="5"/>
      <c r="G33" s="4"/>
      <c r="H33" s="1" t="s">
        <v>19</v>
      </c>
      <c r="I33" s="4"/>
      <c r="J33" s="4"/>
      <c r="K33" s="4"/>
      <c r="L33" s="6"/>
    </row>
    <row r="34" spans="1:12" ht="15" thickBot="1" x14ac:dyDescent="0.4">
      <c r="A34" s="10"/>
      <c r="B34" s="7"/>
      <c r="C34" s="8"/>
      <c r="D34" s="8"/>
      <c r="E34" s="8"/>
      <c r="F34" s="9"/>
      <c r="G34" s="8"/>
      <c r="H34" s="8"/>
      <c r="I34" s="258"/>
      <c r="J34" s="258"/>
      <c r="K34" s="258"/>
      <c r="L34" s="259"/>
    </row>
  </sheetData>
  <mergeCells count="43">
    <mergeCell ref="B4:H4"/>
    <mergeCell ref="J5:L5"/>
    <mergeCell ref="B6:H6"/>
    <mergeCell ref="B8:L8"/>
    <mergeCell ref="B10:B12"/>
    <mergeCell ref="C10:L10"/>
    <mergeCell ref="C11:E12"/>
    <mergeCell ref="F11:F12"/>
    <mergeCell ref="G11:G12"/>
    <mergeCell ref="H11:L11"/>
    <mergeCell ref="H12:J12"/>
    <mergeCell ref="K12:L12"/>
    <mergeCell ref="H13:J13"/>
    <mergeCell ref="K13:L13"/>
    <mergeCell ref="C15:D15"/>
    <mergeCell ref="H15:J15"/>
    <mergeCell ref="K15:L15"/>
    <mergeCell ref="C14:D14"/>
    <mergeCell ref="H14:J14"/>
    <mergeCell ref="K14:L14"/>
    <mergeCell ref="C13:D13"/>
    <mergeCell ref="C16:D16"/>
    <mergeCell ref="H16:J16"/>
    <mergeCell ref="K16:L16"/>
    <mergeCell ref="C24:D24"/>
    <mergeCell ref="H24:J24"/>
    <mergeCell ref="K24:L24"/>
    <mergeCell ref="C25:D25"/>
    <mergeCell ref="H25:J25"/>
    <mergeCell ref="K25:L25"/>
    <mergeCell ref="C26:D26"/>
    <mergeCell ref="H26:J26"/>
    <mergeCell ref="K26:L26"/>
    <mergeCell ref="C27:D27"/>
    <mergeCell ref="H27:J27"/>
    <mergeCell ref="K27:L27"/>
    <mergeCell ref="I34:L34"/>
    <mergeCell ref="C28:D28"/>
    <mergeCell ref="H28:J28"/>
    <mergeCell ref="K28:L28"/>
    <mergeCell ref="F29:G29"/>
    <mergeCell ref="H29:J29"/>
    <mergeCell ref="K29:L2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4DF4-67C3-4DC8-9F36-B4651E0B8A5D}">
  <dimension ref="A1:K52"/>
  <sheetViews>
    <sheetView tabSelected="1" workbookViewId="0">
      <selection activeCell="B2" sqref="B2:I2"/>
    </sheetView>
  </sheetViews>
  <sheetFormatPr defaultRowHeight="14.5" x14ac:dyDescent="0.35"/>
  <cols>
    <col min="4" max="4" width="32.1796875" customWidth="1"/>
  </cols>
  <sheetData>
    <row r="1" spans="2:11" x14ac:dyDescent="0.35">
      <c r="H1" s="50" t="s">
        <v>20</v>
      </c>
    </row>
    <row r="2" spans="2:11" ht="22" x14ac:dyDescent="0.65">
      <c r="B2" s="310" t="s">
        <v>21</v>
      </c>
      <c r="C2" s="310"/>
      <c r="D2" s="310"/>
      <c r="E2" s="310"/>
      <c r="F2" s="310"/>
      <c r="G2" s="310"/>
      <c r="H2" s="310"/>
      <c r="I2" s="310"/>
    </row>
    <row r="3" spans="2:11" ht="17" x14ac:dyDescent="0.5">
      <c r="B3" s="51"/>
      <c r="C3" s="51"/>
      <c r="D3" s="51"/>
      <c r="E3" s="51"/>
      <c r="F3" s="51"/>
      <c r="G3" s="51"/>
      <c r="H3" s="51"/>
      <c r="I3" s="51"/>
      <c r="J3" s="52"/>
    </row>
    <row r="4" spans="2:11" ht="15.5" x14ac:dyDescent="0.35">
      <c r="B4" s="311" t="s">
        <v>5</v>
      </c>
      <c r="C4" s="311"/>
      <c r="D4" s="311"/>
      <c r="E4" s="311"/>
      <c r="F4" s="311"/>
      <c r="G4" s="311"/>
      <c r="H4" s="311"/>
      <c r="I4" s="311"/>
      <c r="J4" s="53"/>
      <c r="K4" s="54"/>
    </row>
    <row r="5" spans="2:11" ht="15.5" x14ac:dyDescent="0.35">
      <c r="B5" s="312" t="s">
        <v>22</v>
      </c>
      <c r="C5" s="312"/>
      <c r="D5" s="312"/>
      <c r="E5" s="312"/>
      <c r="F5" s="312"/>
      <c r="G5" s="312"/>
      <c r="H5" s="312"/>
      <c r="I5" s="312"/>
      <c r="J5" s="312"/>
      <c r="K5" s="54"/>
    </row>
    <row r="6" spans="2:11" ht="15.5" x14ac:dyDescent="0.35">
      <c r="B6" s="56"/>
      <c r="C6" s="56"/>
      <c r="D6" s="57"/>
      <c r="E6" s="56"/>
      <c r="F6" s="56"/>
      <c r="G6" s="56"/>
      <c r="H6" s="56"/>
      <c r="I6" s="56"/>
      <c r="J6" s="53"/>
      <c r="K6" s="54"/>
    </row>
    <row r="7" spans="2:11" x14ac:dyDescent="0.35">
      <c r="B7" s="58" t="s">
        <v>23</v>
      </c>
      <c r="C7" s="52"/>
      <c r="D7" s="52"/>
      <c r="E7" s="52"/>
      <c r="F7" s="52"/>
      <c r="G7" s="58" t="s">
        <v>24</v>
      </c>
      <c r="H7" s="52"/>
      <c r="I7" s="52"/>
      <c r="J7" s="52"/>
    </row>
    <row r="8" spans="2:11" ht="15" thickBot="1" x14ac:dyDescent="0.4">
      <c r="B8" s="52"/>
      <c r="C8" s="59"/>
      <c r="D8" s="52"/>
      <c r="E8" s="52"/>
      <c r="F8" s="52"/>
      <c r="G8" s="52"/>
      <c r="H8" s="52"/>
      <c r="I8" s="52"/>
      <c r="J8" s="52"/>
    </row>
    <row r="9" spans="2:11" ht="15" thickTop="1" x14ac:dyDescent="0.35">
      <c r="B9" s="313" t="s">
        <v>25</v>
      </c>
      <c r="C9" s="60" t="s">
        <v>26</v>
      </c>
      <c r="D9" s="315" t="s">
        <v>27</v>
      </c>
      <c r="E9" s="61" t="s">
        <v>28</v>
      </c>
      <c r="F9" s="315" t="s">
        <v>29</v>
      </c>
      <c r="G9" s="307" t="s">
        <v>30</v>
      </c>
      <c r="H9" s="308"/>
      <c r="I9" s="308"/>
      <c r="J9" s="309"/>
    </row>
    <row r="10" spans="2:11" ht="15" thickBot="1" x14ac:dyDescent="0.4">
      <c r="B10" s="314"/>
      <c r="C10" s="62" t="s">
        <v>31</v>
      </c>
      <c r="D10" s="316"/>
      <c r="E10" s="63" t="s">
        <v>32</v>
      </c>
      <c r="F10" s="316"/>
      <c r="G10" s="317" t="s">
        <v>14</v>
      </c>
      <c r="H10" s="318"/>
      <c r="I10" s="319" t="s">
        <v>15</v>
      </c>
      <c r="J10" s="320"/>
    </row>
    <row r="11" spans="2:11" x14ac:dyDescent="0.35">
      <c r="B11" s="64"/>
      <c r="C11" s="65"/>
      <c r="D11" s="66"/>
      <c r="E11" s="67"/>
      <c r="F11" s="67"/>
      <c r="G11" s="65"/>
      <c r="H11" s="65"/>
      <c r="I11" s="66"/>
      <c r="J11" s="68"/>
    </row>
    <row r="12" spans="2:11" x14ac:dyDescent="0.35">
      <c r="B12" s="69"/>
      <c r="C12" s="70"/>
      <c r="D12" s="70"/>
      <c r="E12" s="70"/>
      <c r="F12" s="70"/>
      <c r="G12" s="70"/>
      <c r="H12" s="70"/>
      <c r="I12" s="70"/>
      <c r="J12" s="71"/>
    </row>
    <row r="13" spans="2:11" x14ac:dyDescent="0.35">
      <c r="B13" s="69"/>
      <c r="C13" s="70"/>
      <c r="D13" s="70"/>
      <c r="E13" s="70"/>
      <c r="F13" s="70"/>
      <c r="G13" s="70"/>
      <c r="H13" s="70"/>
      <c r="I13" s="70"/>
      <c r="J13" s="71"/>
    </row>
    <row r="14" spans="2:11" x14ac:dyDescent="0.35">
      <c r="B14" s="69"/>
      <c r="C14" s="70"/>
      <c r="D14" s="70"/>
      <c r="E14" s="70"/>
      <c r="F14" s="70"/>
      <c r="G14" s="70"/>
      <c r="H14" s="70"/>
      <c r="I14" s="70"/>
      <c r="J14" s="71"/>
    </row>
    <row r="15" spans="2:11" x14ac:dyDescent="0.35">
      <c r="B15" s="69"/>
      <c r="C15" s="70"/>
      <c r="D15" s="70"/>
      <c r="E15" s="70"/>
      <c r="F15" s="70"/>
      <c r="G15" s="70"/>
      <c r="H15" s="70"/>
      <c r="I15" s="70"/>
      <c r="J15" s="71"/>
    </row>
    <row r="16" spans="2:11" x14ac:dyDescent="0.35">
      <c r="B16" s="69"/>
      <c r="C16" s="70"/>
      <c r="D16" s="70"/>
      <c r="E16" s="70"/>
      <c r="F16" s="70"/>
      <c r="G16" s="70"/>
      <c r="H16" s="70"/>
      <c r="I16" s="70"/>
      <c r="J16" s="71"/>
    </row>
    <row r="17" spans="2:10" x14ac:dyDescent="0.35">
      <c r="B17" s="69"/>
      <c r="C17" s="70"/>
      <c r="D17" s="70"/>
      <c r="E17" s="70"/>
      <c r="F17" s="70"/>
      <c r="G17" s="70"/>
      <c r="H17" s="70"/>
      <c r="I17" s="70"/>
      <c r="J17" s="71"/>
    </row>
    <row r="18" spans="2:10" x14ac:dyDescent="0.35">
      <c r="B18" s="69"/>
      <c r="C18" s="70"/>
      <c r="D18" s="70"/>
      <c r="E18" s="70"/>
      <c r="F18" s="70"/>
      <c r="G18" s="70"/>
      <c r="H18" s="70"/>
      <c r="I18" s="70"/>
      <c r="J18" s="71"/>
    </row>
    <row r="19" spans="2:10" x14ac:dyDescent="0.35">
      <c r="B19" s="69"/>
      <c r="C19" s="70"/>
      <c r="D19" s="70"/>
      <c r="E19" s="70"/>
      <c r="F19" s="70"/>
      <c r="G19" s="70"/>
      <c r="H19" s="70"/>
      <c r="I19" s="70"/>
      <c r="J19" s="71"/>
    </row>
    <row r="20" spans="2:10" x14ac:dyDescent="0.35">
      <c r="B20" s="69"/>
      <c r="C20" s="70"/>
      <c r="D20" s="70"/>
      <c r="E20" s="70"/>
      <c r="F20" s="70"/>
      <c r="G20" s="70"/>
      <c r="H20" s="70"/>
      <c r="I20" s="70"/>
      <c r="J20" s="71"/>
    </row>
    <row r="21" spans="2:10" x14ac:dyDescent="0.35">
      <c r="B21" s="69"/>
      <c r="C21" s="70"/>
      <c r="D21" s="70"/>
      <c r="E21" s="70"/>
      <c r="F21" s="70"/>
      <c r="G21" s="70"/>
      <c r="H21" s="70"/>
      <c r="I21" s="70"/>
      <c r="J21" s="71"/>
    </row>
    <row r="22" spans="2:10" x14ac:dyDescent="0.35">
      <c r="B22" s="69"/>
      <c r="C22" s="70"/>
      <c r="D22" s="70"/>
      <c r="E22" s="70"/>
      <c r="F22" s="70"/>
      <c r="G22" s="70"/>
      <c r="H22" s="70"/>
      <c r="I22" s="70"/>
      <c r="J22" s="71"/>
    </row>
    <row r="23" spans="2:10" x14ac:dyDescent="0.35">
      <c r="B23" s="69"/>
      <c r="C23" s="70"/>
      <c r="D23" s="70"/>
      <c r="E23" s="70"/>
      <c r="F23" s="70"/>
      <c r="G23" s="70"/>
      <c r="H23" s="70"/>
      <c r="I23" s="70"/>
      <c r="J23" s="71"/>
    </row>
    <row r="24" spans="2:10" x14ac:dyDescent="0.35">
      <c r="B24" s="69"/>
      <c r="C24" s="70"/>
      <c r="D24" s="70"/>
      <c r="E24" s="70"/>
      <c r="F24" s="70"/>
      <c r="G24" s="70"/>
      <c r="H24" s="70"/>
      <c r="I24" s="70"/>
      <c r="J24" s="71"/>
    </row>
    <row r="25" spans="2:10" x14ac:dyDescent="0.35">
      <c r="B25" s="69"/>
      <c r="C25" s="70"/>
      <c r="D25" s="70"/>
      <c r="E25" s="70"/>
      <c r="F25" s="70"/>
      <c r="G25" s="70"/>
      <c r="H25" s="70"/>
      <c r="I25" s="70"/>
      <c r="J25" s="71"/>
    </row>
    <row r="26" spans="2:10" x14ac:dyDescent="0.35">
      <c r="B26" s="69"/>
      <c r="C26" s="70"/>
      <c r="D26" s="70"/>
      <c r="E26" s="70"/>
      <c r="F26" s="70"/>
      <c r="G26" s="70"/>
      <c r="H26" s="70"/>
      <c r="I26" s="70"/>
      <c r="J26" s="71"/>
    </row>
    <row r="27" spans="2:10" x14ac:dyDescent="0.35">
      <c r="B27" s="69"/>
      <c r="C27" s="70"/>
      <c r="D27" s="70"/>
      <c r="E27" s="70"/>
      <c r="F27" s="70"/>
      <c r="G27" s="70"/>
      <c r="H27" s="70"/>
      <c r="I27" s="70"/>
      <c r="J27" s="71"/>
    </row>
    <row r="28" spans="2:10" x14ac:dyDescent="0.35">
      <c r="B28" s="69"/>
      <c r="C28" s="70"/>
      <c r="D28" s="70"/>
      <c r="E28" s="70"/>
      <c r="F28" s="70"/>
      <c r="G28" s="70"/>
      <c r="H28" s="70"/>
      <c r="I28" s="70"/>
      <c r="J28" s="71"/>
    </row>
    <row r="29" spans="2:10" x14ac:dyDescent="0.35">
      <c r="B29" s="69"/>
      <c r="C29" s="70"/>
      <c r="D29" s="70"/>
      <c r="E29" s="70"/>
      <c r="F29" s="70"/>
      <c r="G29" s="70"/>
      <c r="H29" s="70"/>
      <c r="I29" s="70"/>
      <c r="J29" s="71"/>
    </row>
    <row r="30" spans="2:10" x14ac:dyDescent="0.35">
      <c r="B30" s="69"/>
      <c r="C30" s="70"/>
      <c r="D30" s="70"/>
      <c r="E30" s="70"/>
      <c r="F30" s="70"/>
      <c r="G30" s="70"/>
      <c r="H30" s="70"/>
      <c r="I30" s="70"/>
      <c r="J30" s="71"/>
    </row>
    <row r="31" spans="2:10" x14ac:dyDescent="0.35">
      <c r="B31" s="69"/>
      <c r="C31" s="70"/>
      <c r="D31" s="70"/>
      <c r="E31" s="70"/>
      <c r="F31" s="70"/>
      <c r="G31" s="70"/>
      <c r="H31" s="70"/>
      <c r="I31" s="70"/>
      <c r="J31" s="71"/>
    </row>
    <row r="32" spans="2:10" x14ac:dyDescent="0.35">
      <c r="B32" s="69"/>
      <c r="C32" s="70"/>
      <c r="D32" s="70"/>
      <c r="E32" s="70"/>
      <c r="F32" s="70"/>
      <c r="G32" s="70"/>
      <c r="H32" s="70"/>
      <c r="I32" s="70"/>
      <c r="J32" s="71"/>
    </row>
    <row r="33" spans="1:11" x14ac:dyDescent="0.35">
      <c r="B33" s="69"/>
      <c r="C33" s="70"/>
      <c r="D33" s="70"/>
      <c r="E33" s="70"/>
      <c r="F33" s="70"/>
      <c r="G33" s="70"/>
      <c r="H33" s="70"/>
      <c r="I33" s="70"/>
      <c r="J33" s="71"/>
    </row>
    <row r="34" spans="1:11" x14ac:dyDescent="0.35">
      <c r="B34" s="69"/>
      <c r="C34" s="70"/>
      <c r="D34" s="70"/>
      <c r="E34" s="70"/>
      <c r="F34" s="70"/>
      <c r="G34" s="70"/>
      <c r="H34" s="70"/>
      <c r="I34" s="70"/>
      <c r="J34" s="71"/>
    </row>
    <row r="35" spans="1:11" x14ac:dyDescent="0.35">
      <c r="B35" s="69"/>
      <c r="C35" s="70"/>
      <c r="D35" s="70"/>
      <c r="E35" s="70"/>
      <c r="F35" s="70"/>
      <c r="G35" s="70"/>
      <c r="H35" s="70"/>
      <c r="I35" s="70"/>
      <c r="J35" s="71"/>
    </row>
    <row r="36" spans="1:11" x14ac:dyDescent="0.35">
      <c r="B36" s="69"/>
      <c r="C36" s="70"/>
      <c r="D36" s="70"/>
      <c r="E36" s="70"/>
      <c r="F36" s="70"/>
      <c r="G36" s="70"/>
      <c r="H36" s="70"/>
      <c r="I36" s="70"/>
      <c r="J36" s="71"/>
    </row>
    <row r="37" spans="1:11" x14ac:dyDescent="0.35">
      <c r="B37" s="69"/>
      <c r="C37" s="70"/>
      <c r="D37" s="70"/>
      <c r="E37" s="70"/>
      <c r="F37" s="70"/>
      <c r="G37" s="70"/>
      <c r="H37" s="70"/>
      <c r="I37" s="70"/>
      <c r="J37" s="71"/>
    </row>
    <row r="38" spans="1:11" x14ac:dyDescent="0.35">
      <c r="B38" s="69"/>
      <c r="C38" s="70"/>
      <c r="D38" s="70"/>
      <c r="E38" s="70"/>
      <c r="F38" s="70"/>
      <c r="G38" s="70"/>
      <c r="H38" s="70"/>
      <c r="I38" s="70"/>
      <c r="J38" s="71"/>
    </row>
    <row r="39" spans="1:11" x14ac:dyDescent="0.35">
      <c r="B39" s="69"/>
      <c r="C39" s="70"/>
      <c r="D39" s="70"/>
      <c r="E39" s="70"/>
      <c r="F39" s="70"/>
      <c r="G39" s="70"/>
      <c r="H39" s="70"/>
      <c r="I39" s="70"/>
      <c r="J39" s="71"/>
    </row>
    <row r="40" spans="1:11" x14ac:dyDescent="0.35">
      <c r="B40" s="69"/>
      <c r="C40" s="70"/>
      <c r="D40" s="70"/>
      <c r="E40" s="70"/>
      <c r="F40" s="70"/>
      <c r="G40" s="70"/>
      <c r="H40" s="70"/>
      <c r="I40" s="70"/>
      <c r="J40" s="71"/>
    </row>
    <row r="41" spans="1:11" x14ac:dyDescent="0.35">
      <c r="B41" s="69"/>
      <c r="C41" s="70"/>
      <c r="D41" s="70"/>
      <c r="E41" s="70"/>
      <c r="F41" s="70"/>
      <c r="G41" s="70"/>
      <c r="H41" s="70"/>
      <c r="I41" s="70"/>
      <c r="J41" s="71"/>
    </row>
    <row r="42" spans="1:11" x14ac:dyDescent="0.35">
      <c r="B42" s="69"/>
      <c r="C42" s="70"/>
      <c r="D42" s="70"/>
      <c r="E42" s="70"/>
      <c r="F42" s="70"/>
      <c r="G42" s="70"/>
      <c r="H42" s="70"/>
      <c r="I42" s="70"/>
      <c r="J42" s="71"/>
    </row>
    <row r="43" spans="1:11" x14ac:dyDescent="0.35">
      <c r="B43" s="69"/>
      <c r="C43" s="70"/>
      <c r="D43" s="70"/>
      <c r="E43" s="70"/>
      <c r="F43" s="70"/>
      <c r="G43" s="70"/>
      <c r="H43" s="70"/>
      <c r="I43" s="70"/>
      <c r="J43" s="71"/>
    </row>
    <row r="44" spans="1:11" ht="15" thickBot="1" x14ac:dyDescent="0.4">
      <c r="B44" s="72"/>
      <c r="C44" s="73"/>
      <c r="D44" s="74"/>
      <c r="E44" s="75"/>
      <c r="F44" s="75"/>
      <c r="G44" s="73"/>
      <c r="H44" s="73"/>
      <c r="I44" s="74"/>
      <c r="J44" s="76"/>
    </row>
    <row r="45" spans="1:11" ht="15" thickTop="1" x14ac:dyDescent="0.3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</row>
    <row r="46" spans="1:11" x14ac:dyDescent="0.35">
      <c r="A46" s="77"/>
      <c r="B46" s="77"/>
      <c r="C46" s="77"/>
      <c r="D46" s="77"/>
      <c r="E46" s="77"/>
      <c r="F46" s="78" t="s">
        <v>33</v>
      </c>
      <c r="G46" s="77"/>
      <c r="H46" s="77"/>
      <c r="I46" s="77"/>
      <c r="J46" s="77"/>
      <c r="K46" s="77"/>
    </row>
    <row r="47" spans="1:11" x14ac:dyDescent="0.35">
      <c r="A47" s="77"/>
      <c r="B47" s="77"/>
      <c r="C47" s="77"/>
      <c r="D47" s="77"/>
      <c r="E47" s="77"/>
      <c r="F47" s="77"/>
      <c r="G47" s="79"/>
      <c r="H47" s="79"/>
      <c r="I47" s="79"/>
      <c r="J47" s="77"/>
      <c r="K47" s="77"/>
    </row>
    <row r="48" spans="1:11" x14ac:dyDescent="0.35">
      <c r="A48" s="77"/>
      <c r="B48" s="77"/>
      <c r="C48" s="77"/>
      <c r="D48" s="77"/>
      <c r="E48" s="77"/>
      <c r="F48" s="77"/>
      <c r="G48" s="306" t="s">
        <v>19</v>
      </c>
      <c r="H48" s="306"/>
      <c r="I48" s="306"/>
      <c r="J48" s="77"/>
      <c r="K48" s="77"/>
    </row>
    <row r="49" spans="1:11" x14ac:dyDescent="0.35">
      <c r="A49" s="77"/>
      <c r="B49" s="77"/>
      <c r="C49" s="77"/>
      <c r="D49" s="77"/>
      <c r="E49" s="77"/>
      <c r="F49" s="77"/>
      <c r="G49" s="79"/>
      <c r="H49" s="79"/>
      <c r="I49" s="79"/>
      <c r="J49" s="77"/>
      <c r="K49" s="77"/>
    </row>
    <row r="50" spans="1:11" x14ac:dyDescent="0.35">
      <c r="A50" s="77"/>
      <c r="B50" s="77"/>
      <c r="C50" s="77"/>
      <c r="D50" s="77"/>
      <c r="E50" s="77"/>
      <c r="F50" s="77"/>
      <c r="G50" s="306" t="s">
        <v>25</v>
      </c>
      <c r="H50" s="306"/>
      <c r="I50" s="306"/>
      <c r="J50" s="77"/>
      <c r="K50" s="77"/>
    </row>
    <row r="51" spans="1:11" x14ac:dyDescent="0.35">
      <c r="B51" s="58"/>
      <c r="C51" s="58"/>
      <c r="D51" s="58"/>
      <c r="E51" s="58"/>
      <c r="F51" s="58"/>
      <c r="G51" s="58"/>
      <c r="H51" s="58"/>
      <c r="I51" s="58"/>
      <c r="J51" s="58"/>
    </row>
    <row r="52" spans="1:11" x14ac:dyDescent="0.35">
      <c r="B52" s="58"/>
      <c r="C52" s="58"/>
      <c r="D52" s="58"/>
      <c r="E52" s="58"/>
      <c r="F52" s="58"/>
      <c r="G52" s="58"/>
      <c r="H52" s="58"/>
      <c r="I52" s="58"/>
      <c r="J52" s="58"/>
    </row>
  </sheetData>
  <mergeCells count="11">
    <mergeCell ref="G48:I48"/>
    <mergeCell ref="G50:I50"/>
    <mergeCell ref="G9:J9"/>
    <mergeCell ref="B2:I2"/>
    <mergeCell ref="B4:I4"/>
    <mergeCell ref="B5:J5"/>
    <mergeCell ref="B9:B10"/>
    <mergeCell ref="D9:D10"/>
    <mergeCell ref="F9:F10"/>
    <mergeCell ref="G10:H10"/>
    <mergeCell ref="I10:J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C5DF-5595-4126-81ED-ACBD1DADA4B4}">
  <dimension ref="B1:X39"/>
  <sheetViews>
    <sheetView zoomScaleNormal="100" workbookViewId="0">
      <selection activeCell="G14" sqref="G14"/>
    </sheetView>
  </sheetViews>
  <sheetFormatPr defaultRowHeight="14.5" x14ac:dyDescent="0.35"/>
  <cols>
    <col min="1" max="1" width="14.26953125" customWidth="1"/>
    <col min="2" max="2" width="5.7265625" customWidth="1"/>
    <col min="3" max="3" width="7.81640625" customWidth="1"/>
    <col min="4" max="4" width="7.7265625" customWidth="1"/>
    <col min="5" max="5" width="10.7265625" customWidth="1"/>
    <col min="6" max="6" width="12.453125" customWidth="1"/>
    <col min="7" max="7" width="7.7265625" customWidth="1"/>
    <col min="8" max="12" width="5.7265625" customWidth="1"/>
    <col min="14" max="14" width="3.7265625" customWidth="1"/>
    <col min="15" max="15" width="5.26953125" customWidth="1"/>
    <col min="16" max="16" width="6.7265625" customWidth="1"/>
    <col min="17" max="20" width="5.7265625" customWidth="1"/>
    <col min="22" max="22" width="3.54296875" customWidth="1"/>
    <col min="23" max="23" width="6.7265625" customWidth="1"/>
  </cols>
  <sheetData>
    <row r="1" spans="2:24" ht="15.5" x14ac:dyDescent="0.35">
      <c r="V1" s="80" t="s">
        <v>34</v>
      </c>
    </row>
    <row r="2" spans="2:24" ht="24.5" x14ac:dyDescent="0.7">
      <c r="B2" s="321" t="s">
        <v>35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</row>
    <row r="3" spans="2:24" ht="24.5" x14ac:dyDescent="0.7"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</row>
    <row r="4" spans="2:24" x14ac:dyDescent="0.35">
      <c r="B4" s="311" t="s">
        <v>5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</row>
    <row r="5" spans="2:24" x14ac:dyDescent="0.35">
      <c r="B5" s="311" t="s">
        <v>36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</row>
    <row r="6" spans="2:24" ht="16" thickBot="1" x14ac:dyDescent="0.4">
      <c r="B6" s="322" t="s">
        <v>4</v>
      </c>
      <c r="C6" s="32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  <c r="R6" s="83"/>
      <c r="S6" s="83"/>
      <c r="T6" s="83"/>
    </row>
    <row r="7" spans="2:24" ht="15.5" thickTop="1" thickBot="1" x14ac:dyDescent="0.4">
      <c r="B7" s="84"/>
      <c r="C7" s="85"/>
      <c r="D7" s="86"/>
      <c r="E7" s="87"/>
      <c r="F7" s="88"/>
      <c r="G7" s="323" t="s">
        <v>37</v>
      </c>
      <c r="H7" s="324"/>
      <c r="I7" s="324"/>
      <c r="J7" s="324"/>
      <c r="K7" s="324"/>
      <c r="L7" s="324"/>
      <c r="M7" s="324"/>
      <c r="N7" s="324"/>
      <c r="O7" s="324"/>
      <c r="P7" s="325"/>
      <c r="Q7" s="326" t="s">
        <v>38</v>
      </c>
      <c r="R7" s="327"/>
      <c r="S7" s="327"/>
      <c r="T7" s="327"/>
      <c r="U7" s="327"/>
      <c r="V7" s="327"/>
      <c r="W7" s="327"/>
      <c r="X7" s="328"/>
    </row>
    <row r="8" spans="2:24" ht="15.5" thickTop="1" thickBot="1" x14ac:dyDescent="0.4">
      <c r="B8" s="89"/>
      <c r="C8" s="90"/>
      <c r="D8" s="91"/>
      <c r="E8" s="92"/>
      <c r="F8" s="93"/>
      <c r="G8" s="344" t="s">
        <v>39</v>
      </c>
      <c r="H8" s="347" t="s">
        <v>40</v>
      </c>
      <c r="I8" s="348"/>
      <c r="J8" s="348"/>
      <c r="K8" s="348"/>
      <c r="L8" s="348"/>
      <c r="M8" s="348"/>
      <c r="N8" s="348"/>
      <c r="O8" s="348"/>
      <c r="P8" s="349"/>
      <c r="Q8" s="350" t="s">
        <v>41</v>
      </c>
      <c r="R8" s="351"/>
      <c r="S8" s="351"/>
      <c r="T8" s="351"/>
      <c r="U8" s="351"/>
      <c r="V8" s="351"/>
      <c r="W8" s="351"/>
      <c r="X8" s="329" t="s">
        <v>42</v>
      </c>
    </row>
    <row r="9" spans="2:24" ht="15.5" thickTop="1" thickBot="1" x14ac:dyDescent="0.4">
      <c r="B9" s="89" t="s">
        <v>25</v>
      </c>
      <c r="C9" s="90" t="s">
        <v>43</v>
      </c>
      <c r="D9" s="91" t="s">
        <v>44</v>
      </c>
      <c r="E9" s="332" t="s">
        <v>45</v>
      </c>
      <c r="F9" s="333"/>
      <c r="G9" s="345"/>
      <c r="H9" s="334"/>
      <c r="I9" s="95"/>
      <c r="J9" s="336"/>
      <c r="K9" s="336"/>
      <c r="L9" s="336"/>
      <c r="M9" s="338" t="s">
        <v>46</v>
      </c>
      <c r="N9" s="339"/>
      <c r="O9" s="339"/>
      <c r="P9" s="340"/>
      <c r="Q9" s="96"/>
      <c r="R9" s="97"/>
      <c r="S9" s="98"/>
      <c r="T9" s="99"/>
      <c r="U9" s="341" t="s">
        <v>46</v>
      </c>
      <c r="V9" s="342"/>
      <c r="W9" s="342"/>
      <c r="X9" s="330"/>
    </row>
    <row r="10" spans="2:24" ht="15.5" thickTop="1" thickBot="1" x14ac:dyDescent="0.4">
      <c r="B10" s="100"/>
      <c r="C10" s="101"/>
      <c r="D10" s="102"/>
      <c r="E10" s="103"/>
      <c r="F10" s="104"/>
      <c r="G10" s="346"/>
      <c r="H10" s="335"/>
      <c r="I10" s="105"/>
      <c r="J10" s="337"/>
      <c r="K10" s="337"/>
      <c r="L10" s="337"/>
      <c r="M10" s="106" t="s">
        <v>47</v>
      </c>
      <c r="N10" s="106" t="s">
        <v>29</v>
      </c>
      <c r="O10" s="107" t="s">
        <v>14</v>
      </c>
      <c r="P10" s="108" t="s">
        <v>15</v>
      </c>
      <c r="Q10" s="105"/>
      <c r="R10" s="103"/>
      <c r="S10" s="109"/>
      <c r="T10" s="101"/>
      <c r="U10" s="110" t="s">
        <v>47</v>
      </c>
      <c r="V10" s="111" t="s">
        <v>29</v>
      </c>
      <c r="W10" s="112" t="s">
        <v>14</v>
      </c>
      <c r="X10" s="331"/>
    </row>
    <row r="11" spans="2:24" ht="15" thickTop="1" x14ac:dyDescent="0.35">
      <c r="B11" s="113"/>
      <c r="C11" s="114"/>
      <c r="D11" s="114"/>
      <c r="E11" s="115"/>
      <c r="F11" s="116"/>
      <c r="G11" s="117"/>
      <c r="H11" s="114"/>
      <c r="I11" s="114"/>
      <c r="J11" s="118"/>
      <c r="K11" s="118"/>
      <c r="L11" s="118"/>
      <c r="M11" s="118"/>
      <c r="N11" s="118"/>
      <c r="O11" s="119"/>
      <c r="P11" s="120"/>
      <c r="Q11" s="113"/>
      <c r="R11" s="121"/>
      <c r="S11" s="122"/>
      <c r="U11" s="118"/>
      <c r="V11" s="118"/>
      <c r="W11" s="118"/>
      <c r="X11" s="120"/>
    </row>
    <row r="12" spans="2:24" x14ac:dyDescent="0.35">
      <c r="B12" s="123"/>
      <c r="C12" s="121"/>
      <c r="D12" s="121"/>
      <c r="E12" s="124"/>
      <c r="F12" s="116"/>
      <c r="G12" s="125"/>
      <c r="H12" s="121"/>
      <c r="I12" s="121"/>
      <c r="J12" s="122"/>
      <c r="K12" s="122"/>
      <c r="L12" s="122"/>
      <c r="M12" s="122"/>
      <c r="N12" s="122"/>
      <c r="P12" s="126"/>
      <c r="Q12" s="123"/>
      <c r="R12" s="121"/>
      <c r="S12" s="122"/>
      <c r="U12" s="122"/>
      <c r="V12" s="122"/>
      <c r="W12" s="122"/>
      <c r="X12" s="126"/>
    </row>
    <row r="13" spans="2:24" x14ac:dyDescent="0.35">
      <c r="B13" s="123"/>
      <c r="C13" s="121"/>
      <c r="D13" s="121"/>
      <c r="E13" s="124"/>
      <c r="F13" s="116"/>
      <c r="G13" s="125"/>
      <c r="H13" s="121"/>
      <c r="I13" s="121"/>
      <c r="J13" s="122"/>
      <c r="K13" s="122"/>
      <c r="L13" s="122"/>
      <c r="M13" s="122"/>
      <c r="N13" s="122"/>
      <c r="P13" s="126"/>
      <c r="Q13" s="123"/>
      <c r="R13" s="121"/>
      <c r="S13" s="122"/>
      <c r="U13" s="122"/>
      <c r="V13" s="122"/>
      <c r="W13" s="122"/>
      <c r="X13" s="126"/>
    </row>
    <row r="14" spans="2:24" x14ac:dyDescent="0.35">
      <c r="B14" s="123"/>
      <c r="C14" s="121"/>
      <c r="D14" s="121"/>
      <c r="E14" s="124"/>
      <c r="F14" s="116"/>
      <c r="G14" s="125"/>
      <c r="H14" s="121"/>
      <c r="I14" s="121"/>
      <c r="J14" s="122"/>
      <c r="K14" s="122"/>
      <c r="L14" s="122"/>
      <c r="M14" s="122"/>
      <c r="N14" s="122"/>
      <c r="P14" s="126"/>
      <c r="Q14" s="123"/>
      <c r="R14" s="121"/>
      <c r="S14" s="122"/>
      <c r="U14" s="122"/>
      <c r="V14" s="122"/>
      <c r="W14" s="122"/>
      <c r="X14" s="126"/>
    </row>
    <row r="15" spans="2:24" ht="15.5" x14ac:dyDescent="0.35">
      <c r="B15" s="123"/>
      <c r="C15" s="121"/>
      <c r="D15" s="121"/>
      <c r="E15" s="124"/>
      <c r="F15" s="127"/>
      <c r="G15" s="128"/>
      <c r="H15" s="121"/>
      <c r="I15" s="121"/>
      <c r="J15" s="122"/>
      <c r="K15" s="122"/>
      <c r="L15" s="122"/>
      <c r="M15" s="122"/>
      <c r="N15" s="122"/>
      <c r="P15" s="126"/>
      <c r="Q15" s="123"/>
      <c r="R15" s="121"/>
      <c r="S15" s="122"/>
      <c r="U15" s="122"/>
      <c r="V15" s="122"/>
      <c r="W15" s="122"/>
      <c r="X15" s="126"/>
    </row>
    <row r="16" spans="2:24" x14ac:dyDescent="0.35">
      <c r="B16" s="123"/>
      <c r="C16" s="121"/>
      <c r="D16" s="121"/>
      <c r="E16" s="124"/>
      <c r="F16" s="116"/>
      <c r="G16" s="125"/>
      <c r="H16" s="121"/>
      <c r="I16" s="121"/>
      <c r="J16" s="122"/>
      <c r="K16" s="122"/>
      <c r="L16" s="122"/>
      <c r="M16" s="122"/>
      <c r="N16" s="122"/>
      <c r="P16" s="126"/>
      <c r="Q16" s="123"/>
      <c r="R16" s="121"/>
      <c r="S16" s="122"/>
      <c r="U16" s="122"/>
      <c r="V16" s="122"/>
      <c r="W16" s="122"/>
      <c r="X16" s="126"/>
    </row>
    <row r="17" spans="2:24" x14ac:dyDescent="0.35">
      <c r="B17" s="123"/>
      <c r="C17" s="121"/>
      <c r="D17" s="121"/>
      <c r="E17" s="124"/>
      <c r="F17" s="116"/>
      <c r="G17" s="125"/>
      <c r="H17" s="121"/>
      <c r="I17" s="121"/>
      <c r="J17" s="122"/>
      <c r="K17" s="122"/>
      <c r="L17" s="122"/>
      <c r="M17" s="122"/>
      <c r="N17" s="122"/>
      <c r="P17" s="126"/>
      <c r="Q17" s="123"/>
      <c r="R17" s="121"/>
      <c r="S17" s="122"/>
      <c r="U17" s="122"/>
      <c r="V17" s="122"/>
      <c r="W17" s="122"/>
      <c r="X17" s="126"/>
    </row>
    <row r="18" spans="2:24" x14ac:dyDescent="0.35">
      <c r="B18" s="123"/>
      <c r="C18" s="121"/>
      <c r="D18" s="121"/>
      <c r="E18" s="124"/>
      <c r="F18" s="116"/>
      <c r="G18" s="125"/>
      <c r="H18" s="121"/>
      <c r="I18" s="121"/>
      <c r="J18" s="122"/>
      <c r="K18" s="122"/>
      <c r="L18" s="122"/>
      <c r="M18" s="122"/>
      <c r="N18" s="122"/>
      <c r="P18" s="126"/>
      <c r="Q18" s="123"/>
      <c r="R18" s="121"/>
      <c r="S18" s="122"/>
      <c r="U18" s="122"/>
      <c r="V18" s="122"/>
      <c r="W18" s="122"/>
      <c r="X18" s="126"/>
    </row>
    <row r="19" spans="2:24" x14ac:dyDescent="0.35">
      <c r="B19" s="123"/>
      <c r="C19" s="121"/>
      <c r="D19" s="121"/>
      <c r="E19" s="124"/>
      <c r="F19" s="116"/>
      <c r="G19" s="125"/>
      <c r="H19" s="121"/>
      <c r="I19" s="121"/>
      <c r="J19" s="122"/>
      <c r="K19" s="122"/>
      <c r="L19" s="122"/>
      <c r="M19" s="122"/>
      <c r="N19" s="122"/>
      <c r="P19" s="126"/>
      <c r="Q19" s="123"/>
      <c r="R19" s="121"/>
      <c r="S19" s="122"/>
      <c r="U19" s="122"/>
      <c r="V19" s="122"/>
      <c r="W19" s="122"/>
      <c r="X19" s="126"/>
    </row>
    <row r="20" spans="2:24" x14ac:dyDescent="0.35">
      <c r="B20" s="123"/>
      <c r="C20" s="121"/>
      <c r="D20" s="121"/>
      <c r="E20" s="124"/>
      <c r="F20" s="116"/>
      <c r="G20" s="125"/>
      <c r="H20" s="121"/>
      <c r="I20" s="121"/>
      <c r="J20" s="122"/>
      <c r="K20" s="122"/>
      <c r="L20" s="122"/>
      <c r="M20" s="122"/>
      <c r="N20" s="122"/>
      <c r="P20" s="126"/>
      <c r="Q20" s="123"/>
      <c r="R20" s="121"/>
      <c r="S20" s="122"/>
      <c r="U20" s="122"/>
      <c r="V20" s="122"/>
      <c r="W20" s="122"/>
      <c r="X20" s="126"/>
    </row>
    <row r="21" spans="2:24" x14ac:dyDescent="0.35">
      <c r="B21" s="123"/>
      <c r="C21" s="121"/>
      <c r="D21" s="121"/>
      <c r="E21" s="124"/>
      <c r="F21" s="116"/>
      <c r="G21" s="125"/>
      <c r="H21" s="121"/>
      <c r="I21" s="121"/>
      <c r="J21" s="122"/>
      <c r="K21" s="122"/>
      <c r="L21" s="122"/>
      <c r="M21" s="122"/>
      <c r="N21" s="122"/>
      <c r="P21" s="126"/>
      <c r="Q21" s="123"/>
      <c r="R21" s="121"/>
      <c r="S21" s="122"/>
      <c r="U21" s="122"/>
      <c r="V21" s="122"/>
      <c r="W21" s="122"/>
      <c r="X21" s="126"/>
    </row>
    <row r="22" spans="2:24" x14ac:dyDescent="0.35">
      <c r="B22" s="123"/>
      <c r="C22" s="121"/>
      <c r="D22" s="121"/>
      <c r="E22" s="124"/>
      <c r="F22" s="116"/>
      <c r="G22" s="125"/>
      <c r="H22" s="121"/>
      <c r="I22" s="121"/>
      <c r="J22" s="122"/>
      <c r="K22" s="122"/>
      <c r="L22" s="122"/>
      <c r="M22" s="122"/>
      <c r="N22" s="122"/>
      <c r="P22" s="126"/>
      <c r="Q22" s="123"/>
      <c r="R22" s="121"/>
      <c r="S22" s="122"/>
      <c r="U22" s="122"/>
      <c r="V22" s="122"/>
      <c r="W22" s="122"/>
      <c r="X22" s="126"/>
    </row>
    <row r="23" spans="2:24" x14ac:dyDescent="0.35">
      <c r="B23" s="123"/>
      <c r="C23" s="121"/>
      <c r="D23" s="121"/>
      <c r="E23" s="124"/>
      <c r="F23" s="116"/>
      <c r="G23" s="125"/>
      <c r="H23" s="121"/>
      <c r="I23" s="121"/>
      <c r="J23" s="122"/>
      <c r="K23" s="122"/>
      <c r="L23" s="122"/>
      <c r="M23" s="122"/>
      <c r="N23" s="122"/>
      <c r="P23" s="126"/>
      <c r="Q23" s="123"/>
      <c r="R23" s="121"/>
      <c r="S23" s="122"/>
      <c r="U23" s="122"/>
      <c r="V23" s="122"/>
      <c r="W23" s="122"/>
      <c r="X23" s="126"/>
    </row>
    <row r="24" spans="2:24" x14ac:dyDescent="0.35">
      <c r="B24" s="123"/>
      <c r="C24" s="121"/>
      <c r="D24" s="121"/>
      <c r="E24" s="124"/>
      <c r="F24" s="116"/>
      <c r="G24" s="125"/>
      <c r="H24" s="121"/>
      <c r="I24" s="121"/>
      <c r="J24" s="122"/>
      <c r="K24" s="122"/>
      <c r="L24" s="122"/>
      <c r="M24" s="122"/>
      <c r="N24" s="122"/>
      <c r="P24" s="126"/>
      <c r="Q24" s="123"/>
      <c r="R24" s="121"/>
      <c r="S24" s="122"/>
      <c r="U24" s="122"/>
      <c r="V24" s="122"/>
      <c r="W24" s="122"/>
      <c r="X24" s="126"/>
    </row>
    <row r="25" spans="2:24" x14ac:dyDescent="0.35">
      <c r="B25" s="123"/>
      <c r="C25" s="121"/>
      <c r="D25" s="121"/>
      <c r="E25" s="124"/>
      <c r="F25" s="116"/>
      <c r="G25" s="125"/>
      <c r="H25" s="121"/>
      <c r="I25" s="121"/>
      <c r="J25" s="122"/>
      <c r="K25" s="122"/>
      <c r="L25" s="122"/>
      <c r="M25" s="122"/>
      <c r="N25" s="122"/>
      <c r="P25" s="126"/>
      <c r="Q25" s="123"/>
      <c r="R25" s="121"/>
      <c r="S25" s="122"/>
      <c r="U25" s="122"/>
      <c r="V25" s="122"/>
      <c r="W25" s="122"/>
      <c r="X25" s="126"/>
    </row>
    <row r="26" spans="2:24" x14ac:dyDescent="0.35">
      <c r="B26" s="123"/>
      <c r="C26" s="121"/>
      <c r="D26" s="121"/>
      <c r="E26" s="124"/>
      <c r="F26" s="116"/>
      <c r="G26" s="125"/>
      <c r="H26" s="121"/>
      <c r="I26" s="121"/>
      <c r="J26" s="122"/>
      <c r="K26" s="122"/>
      <c r="L26" s="122"/>
      <c r="M26" s="122"/>
      <c r="N26" s="122"/>
      <c r="P26" s="126"/>
      <c r="Q26" s="123"/>
      <c r="R26" s="121"/>
      <c r="S26" s="122"/>
      <c r="U26" s="122"/>
      <c r="V26" s="122"/>
      <c r="W26" s="122"/>
      <c r="X26" s="126"/>
    </row>
    <row r="27" spans="2:24" x14ac:dyDescent="0.35">
      <c r="B27" s="123"/>
      <c r="C27" s="121"/>
      <c r="D27" s="121"/>
      <c r="E27" s="124"/>
      <c r="F27" s="116"/>
      <c r="G27" s="125"/>
      <c r="H27" s="121"/>
      <c r="I27" s="121"/>
      <c r="J27" s="122"/>
      <c r="K27" s="122"/>
      <c r="L27" s="122"/>
      <c r="M27" s="122"/>
      <c r="N27" s="122"/>
      <c r="P27" s="126"/>
      <c r="Q27" s="123"/>
      <c r="R27" s="121"/>
      <c r="S27" s="122"/>
      <c r="U27" s="122"/>
      <c r="V27" s="122"/>
      <c r="W27" s="122"/>
      <c r="X27" s="126"/>
    </row>
    <row r="28" spans="2:24" x14ac:dyDescent="0.35">
      <c r="B28" s="123"/>
      <c r="C28" s="121"/>
      <c r="D28" s="121"/>
      <c r="E28" s="124"/>
      <c r="F28" s="116"/>
      <c r="G28" s="125"/>
      <c r="H28" s="121"/>
      <c r="I28" s="121"/>
      <c r="J28" s="122"/>
      <c r="K28" s="122"/>
      <c r="L28" s="122"/>
      <c r="M28" s="122"/>
      <c r="N28" s="122"/>
      <c r="P28" s="126"/>
      <c r="Q28" s="123"/>
      <c r="R28" s="129"/>
      <c r="S28" s="122"/>
      <c r="T28" s="124"/>
      <c r="U28" s="122"/>
      <c r="V28" s="122"/>
      <c r="W28" s="122"/>
      <c r="X28" s="126"/>
    </row>
    <row r="29" spans="2:24" x14ac:dyDescent="0.35">
      <c r="B29" s="123"/>
      <c r="C29" s="121"/>
      <c r="D29" s="121"/>
      <c r="E29" s="124"/>
      <c r="F29" s="116"/>
      <c r="G29" s="125"/>
      <c r="H29" s="121"/>
      <c r="I29" s="121"/>
      <c r="J29" s="122"/>
      <c r="K29" s="122"/>
      <c r="L29" s="122"/>
      <c r="M29" s="122"/>
      <c r="N29" s="122"/>
      <c r="P29" s="126"/>
      <c r="Q29" s="123"/>
      <c r="R29" s="129"/>
      <c r="S29" s="122"/>
      <c r="T29" s="124"/>
      <c r="U29" s="122"/>
      <c r="V29" s="122"/>
      <c r="W29" s="122"/>
      <c r="X29" s="126"/>
    </row>
    <row r="30" spans="2:24" x14ac:dyDescent="0.35">
      <c r="B30" s="123"/>
      <c r="C30" s="121"/>
      <c r="D30" s="121"/>
      <c r="E30" s="124"/>
      <c r="F30" s="116"/>
      <c r="G30" s="125"/>
      <c r="H30" s="121"/>
      <c r="I30" s="121"/>
      <c r="J30" s="122"/>
      <c r="K30" s="122"/>
      <c r="L30" s="122"/>
      <c r="M30" s="122"/>
      <c r="N30" s="122"/>
      <c r="P30" s="126"/>
      <c r="Q30" s="123"/>
      <c r="R30" s="121"/>
      <c r="S30" s="122"/>
      <c r="T30" s="124"/>
      <c r="U30" s="122"/>
      <c r="V30" s="122"/>
      <c r="W30" s="122"/>
      <c r="X30" s="126"/>
    </row>
    <row r="31" spans="2:24" x14ac:dyDescent="0.35">
      <c r="B31" s="123"/>
      <c r="C31" s="121"/>
      <c r="D31" s="121"/>
      <c r="E31" s="124"/>
      <c r="F31" s="116"/>
      <c r="G31" s="125"/>
      <c r="H31" s="121"/>
      <c r="I31" s="121"/>
      <c r="J31" s="122"/>
      <c r="K31" s="122"/>
      <c r="L31" s="122"/>
      <c r="M31" s="122"/>
      <c r="N31" s="122"/>
      <c r="P31" s="126"/>
      <c r="Q31" s="123"/>
      <c r="R31" s="121"/>
      <c r="S31" s="122"/>
      <c r="T31" s="124"/>
      <c r="U31" s="122"/>
      <c r="V31" s="122"/>
      <c r="W31" s="122"/>
      <c r="X31" s="126"/>
    </row>
    <row r="32" spans="2:24" x14ac:dyDescent="0.35">
      <c r="B32" s="123"/>
      <c r="C32" s="121"/>
      <c r="D32" s="121"/>
      <c r="E32" s="124"/>
      <c r="F32" s="116"/>
      <c r="G32" s="125"/>
      <c r="H32" s="121"/>
      <c r="I32" s="121"/>
      <c r="J32" s="122"/>
      <c r="K32" s="122"/>
      <c r="L32" s="122"/>
      <c r="M32" s="122"/>
      <c r="N32" s="122"/>
      <c r="P32" s="126"/>
      <c r="Q32" s="123"/>
      <c r="R32" s="121"/>
      <c r="S32" s="122"/>
      <c r="T32" s="124"/>
      <c r="U32" s="122"/>
      <c r="V32" s="122"/>
      <c r="W32" s="122"/>
      <c r="X32" s="126"/>
    </row>
    <row r="33" spans="2:24" ht="15" thickBot="1" x14ac:dyDescent="0.4">
      <c r="B33" s="130"/>
      <c r="C33" s="131"/>
      <c r="D33" s="131"/>
      <c r="E33" s="132"/>
      <c r="F33" s="133"/>
      <c r="G33" s="134"/>
      <c r="H33" s="131"/>
      <c r="I33" s="131"/>
      <c r="J33" s="135"/>
      <c r="K33" s="135"/>
      <c r="L33" s="135"/>
      <c r="M33" s="135"/>
      <c r="N33" s="135"/>
      <c r="O33" s="136"/>
      <c r="P33" s="137"/>
      <c r="Q33" s="130"/>
      <c r="R33" s="131"/>
      <c r="S33" s="135"/>
      <c r="T33" s="132"/>
      <c r="U33" s="138"/>
      <c r="V33" s="138"/>
      <c r="W33" s="138"/>
      <c r="X33" s="139"/>
    </row>
    <row r="35" spans="2:24" x14ac:dyDescent="0.35">
      <c r="R35" s="58" t="s">
        <v>48</v>
      </c>
      <c r="S35" s="58"/>
      <c r="T35" s="58"/>
      <c r="U35" s="58"/>
      <c r="V35" s="58"/>
      <c r="W35" s="58"/>
    </row>
    <row r="36" spans="2:24" x14ac:dyDescent="0.35">
      <c r="R36" s="58"/>
      <c r="S36" s="140"/>
      <c r="T36" s="140"/>
      <c r="U36" s="140"/>
      <c r="V36" s="140"/>
      <c r="W36" s="58"/>
    </row>
    <row r="37" spans="2:24" x14ac:dyDescent="0.35">
      <c r="R37" s="58"/>
      <c r="S37" s="343" t="s">
        <v>49</v>
      </c>
      <c r="T37" s="343"/>
      <c r="U37" s="343"/>
      <c r="V37" s="343"/>
      <c r="W37" s="58"/>
    </row>
    <row r="38" spans="2:24" x14ac:dyDescent="0.35">
      <c r="R38" s="58"/>
      <c r="S38" s="140"/>
      <c r="T38" s="140"/>
      <c r="U38" s="140"/>
      <c r="V38" s="140"/>
      <c r="W38" s="58"/>
    </row>
    <row r="39" spans="2:24" x14ac:dyDescent="0.35">
      <c r="R39" s="58"/>
      <c r="S39" s="343" t="s">
        <v>19</v>
      </c>
      <c r="T39" s="343"/>
      <c r="U39" s="343"/>
      <c r="V39" s="343"/>
      <c r="W39" s="58"/>
    </row>
  </sheetData>
  <mergeCells count="19">
    <mergeCell ref="S37:V37"/>
    <mergeCell ref="S39:V39"/>
    <mergeCell ref="G8:G10"/>
    <mergeCell ref="H8:P8"/>
    <mergeCell ref="Q8:W8"/>
    <mergeCell ref="X8:X10"/>
    <mergeCell ref="E9:F9"/>
    <mergeCell ref="H9:H10"/>
    <mergeCell ref="J9:J10"/>
    <mergeCell ref="K9:K10"/>
    <mergeCell ref="L9:L10"/>
    <mergeCell ref="M9:P9"/>
    <mergeCell ref="U9:W9"/>
    <mergeCell ref="B2:X2"/>
    <mergeCell ref="B4:X4"/>
    <mergeCell ref="B5:X5"/>
    <mergeCell ref="B6:C6"/>
    <mergeCell ref="G7:P7"/>
    <mergeCell ref="Q7:X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27DD-79BF-4FB4-83F0-1BD0DE1AB0EA}">
  <dimension ref="B1:Q26"/>
  <sheetViews>
    <sheetView zoomScale="115" zoomScaleNormal="115" workbookViewId="0">
      <selection activeCell="L25" sqref="L25:N25"/>
    </sheetView>
  </sheetViews>
  <sheetFormatPr defaultRowHeight="14.5" x14ac:dyDescent="0.35"/>
  <cols>
    <col min="1" max="1" width="11.26953125" customWidth="1"/>
    <col min="2" max="2" width="9.81640625" customWidth="1"/>
    <col min="3" max="3" width="11.81640625" customWidth="1"/>
    <col min="4" max="5" width="13.54296875" customWidth="1"/>
    <col min="6" max="6" width="7.1796875" hidden="1" customWidth="1"/>
    <col min="7" max="7" width="12.81640625" customWidth="1"/>
    <col min="8" max="13" width="5.7265625" customWidth="1"/>
    <col min="14" max="14" width="9.54296875" customWidth="1"/>
    <col min="15" max="15" width="4" customWidth="1"/>
    <col min="16" max="17" width="7.7265625" customWidth="1"/>
  </cols>
  <sheetData>
    <row r="1" spans="2:17" ht="15.5" x14ac:dyDescent="0.35">
      <c r="P1" s="352" t="s">
        <v>50</v>
      </c>
      <c r="Q1" s="352"/>
    </row>
    <row r="2" spans="2:17" ht="24.5" x14ac:dyDescent="0.7">
      <c r="B2" s="321" t="s">
        <v>51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</row>
    <row r="3" spans="2:17" x14ac:dyDescent="0.3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2:17" x14ac:dyDescent="0.35">
      <c r="B4" s="311" t="s">
        <v>5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</row>
    <row r="5" spans="2:17" x14ac:dyDescent="0.35">
      <c r="B5" s="311" t="s">
        <v>52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</row>
    <row r="6" spans="2:17" x14ac:dyDescent="0.35">
      <c r="L6" s="58" t="s">
        <v>53</v>
      </c>
      <c r="M6" s="58"/>
      <c r="N6" s="58"/>
    </row>
    <row r="7" spans="2:17" ht="15.5" x14ac:dyDescent="0.35">
      <c r="B7" s="58" t="s">
        <v>54</v>
      </c>
      <c r="C7" s="54"/>
      <c r="D7" s="54"/>
      <c r="E7" s="83"/>
      <c r="F7" s="83"/>
      <c r="G7" s="83"/>
      <c r="H7" s="83"/>
      <c r="I7" s="83"/>
      <c r="J7" s="83"/>
      <c r="K7" s="83"/>
      <c r="L7" s="141" t="s">
        <v>55</v>
      </c>
      <c r="M7" s="58"/>
      <c r="N7" s="55"/>
      <c r="P7" s="83"/>
      <c r="Q7" s="83"/>
    </row>
    <row r="8" spans="2:17" ht="16" thickBot="1" x14ac:dyDescent="0.4">
      <c r="C8" s="54"/>
      <c r="D8" s="54"/>
      <c r="E8" s="83"/>
      <c r="F8" s="83"/>
      <c r="G8" s="83"/>
      <c r="H8" s="83"/>
      <c r="I8" s="83"/>
      <c r="J8" s="83"/>
      <c r="K8" s="83"/>
      <c r="L8" s="83"/>
      <c r="M8" s="142"/>
      <c r="O8" s="83"/>
      <c r="P8" s="83"/>
      <c r="Q8" s="83"/>
    </row>
    <row r="9" spans="2:17" ht="15.5" thickTop="1" thickBot="1" x14ac:dyDescent="0.4">
      <c r="B9" s="143"/>
      <c r="C9" s="144" t="s">
        <v>56</v>
      </c>
      <c r="D9" s="145"/>
      <c r="E9" s="146"/>
      <c r="F9" s="146"/>
      <c r="G9" s="147" t="s">
        <v>57</v>
      </c>
      <c r="H9" s="353" t="s">
        <v>41</v>
      </c>
      <c r="I9" s="354"/>
      <c r="J9" s="354"/>
      <c r="K9" s="354"/>
      <c r="L9" s="354"/>
      <c r="M9" s="355"/>
      <c r="N9" s="364" t="s">
        <v>11</v>
      </c>
      <c r="O9" s="367" t="s">
        <v>61</v>
      </c>
      <c r="P9" s="356" t="s">
        <v>62</v>
      </c>
      <c r="Q9" s="357"/>
    </row>
    <row r="10" spans="2:17" ht="15.5" thickTop="1" thickBot="1" x14ac:dyDescent="0.4">
      <c r="B10" s="148" t="s">
        <v>58</v>
      </c>
      <c r="C10" s="149" t="s">
        <v>59</v>
      </c>
      <c r="D10" s="94" t="s">
        <v>44</v>
      </c>
      <c r="E10" s="150" t="s">
        <v>60</v>
      </c>
      <c r="G10" s="362"/>
      <c r="H10" s="370"/>
      <c r="I10" s="372"/>
      <c r="J10" s="373"/>
      <c r="K10" s="373"/>
      <c r="L10" s="373"/>
      <c r="M10" s="360"/>
      <c r="N10" s="365"/>
      <c r="O10" s="368"/>
      <c r="P10" s="358"/>
      <c r="Q10" s="359"/>
    </row>
    <row r="11" spans="2:17" ht="15.5" thickTop="1" thickBot="1" x14ac:dyDescent="0.4">
      <c r="B11" s="152"/>
      <c r="C11" s="153" t="s">
        <v>31</v>
      </c>
      <c r="D11" s="154"/>
      <c r="E11" s="103"/>
      <c r="F11" s="103"/>
      <c r="G11" s="363"/>
      <c r="H11" s="371"/>
      <c r="I11" s="335"/>
      <c r="J11" s="374"/>
      <c r="K11" s="374"/>
      <c r="L11" s="374"/>
      <c r="M11" s="361"/>
      <c r="N11" s="366"/>
      <c r="O11" s="369"/>
      <c r="P11" s="156" t="s">
        <v>14</v>
      </c>
      <c r="Q11" s="157" t="s">
        <v>15</v>
      </c>
    </row>
    <row r="12" spans="2:17" ht="15" thickTop="1" x14ac:dyDescent="0.35">
      <c r="B12" s="158"/>
      <c r="C12" s="159"/>
      <c r="D12" s="160"/>
      <c r="E12" s="161"/>
      <c r="F12" s="161"/>
      <c r="G12" s="162"/>
      <c r="H12" s="179"/>
      <c r="I12" s="164"/>
      <c r="J12" s="159"/>
      <c r="K12" s="164"/>
      <c r="L12" s="161"/>
      <c r="M12" s="163"/>
      <c r="N12" s="158"/>
      <c r="O12" s="182"/>
      <c r="P12" s="164"/>
      <c r="Q12" s="165"/>
    </row>
    <row r="13" spans="2:17" x14ac:dyDescent="0.35">
      <c r="B13" s="166"/>
      <c r="C13" s="167"/>
      <c r="D13" s="168"/>
      <c r="E13" s="169"/>
      <c r="F13" s="169"/>
      <c r="G13" s="170"/>
      <c r="H13" s="180"/>
      <c r="I13" s="172"/>
      <c r="J13" s="167"/>
      <c r="K13" s="172"/>
      <c r="L13" s="169"/>
      <c r="M13" s="171"/>
      <c r="N13" s="166"/>
      <c r="O13" s="167"/>
      <c r="P13" s="172"/>
      <c r="Q13" s="173"/>
    </row>
    <row r="14" spans="2:17" x14ac:dyDescent="0.35">
      <c r="B14" s="166"/>
      <c r="C14" s="167"/>
      <c r="D14" s="168"/>
      <c r="E14" s="169"/>
      <c r="F14" s="169"/>
      <c r="G14" s="170"/>
      <c r="H14" s="180"/>
      <c r="I14" s="172"/>
      <c r="J14" s="167"/>
      <c r="K14" s="172"/>
      <c r="L14" s="169"/>
      <c r="M14" s="171"/>
      <c r="N14" s="166"/>
      <c r="O14" s="167"/>
      <c r="P14" s="172"/>
      <c r="Q14" s="173"/>
    </row>
    <row r="15" spans="2:17" x14ac:dyDescent="0.35">
      <c r="B15" s="166"/>
      <c r="C15" s="167"/>
      <c r="D15" s="168"/>
      <c r="E15" s="169"/>
      <c r="F15" s="169"/>
      <c r="G15" s="170"/>
      <c r="H15" s="180"/>
      <c r="I15" s="172"/>
      <c r="J15" s="167"/>
      <c r="K15" s="172"/>
      <c r="L15" s="169"/>
      <c r="M15" s="171"/>
      <c r="N15" s="166"/>
      <c r="O15" s="167"/>
      <c r="P15" s="172"/>
      <c r="Q15" s="173"/>
    </row>
    <row r="16" spans="2:17" x14ac:dyDescent="0.35">
      <c r="B16" s="166"/>
      <c r="C16" s="167"/>
      <c r="D16" s="168"/>
      <c r="E16" s="169"/>
      <c r="F16" s="169"/>
      <c r="G16" s="170"/>
      <c r="H16" s="180"/>
      <c r="I16" s="172"/>
      <c r="J16" s="167"/>
      <c r="K16" s="172"/>
      <c r="L16" s="169"/>
      <c r="M16" s="171"/>
      <c r="N16" s="166"/>
      <c r="O16" s="167"/>
      <c r="P16" s="172"/>
      <c r="Q16" s="173"/>
    </row>
    <row r="17" spans="2:17" x14ac:dyDescent="0.35">
      <c r="B17" s="166"/>
      <c r="C17" s="167"/>
      <c r="D17" s="168"/>
      <c r="E17" s="169"/>
      <c r="F17" s="169"/>
      <c r="G17" s="170"/>
      <c r="H17" s="180"/>
      <c r="I17" s="172"/>
      <c r="J17" s="167"/>
      <c r="K17" s="172"/>
      <c r="L17" s="169"/>
      <c r="M17" s="171"/>
      <c r="N17" s="166"/>
      <c r="O17" s="167"/>
      <c r="P17" s="168"/>
      <c r="Q17" s="171"/>
    </row>
    <row r="18" spans="2:17" x14ac:dyDescent="0.35">
      <c r="B18" s="166"/>
      <c r="C18" s="167"/>
      <c r="D18" s="168"/>
      <c r="E18" s="169"/>
      <c r="F18" s="169"/>
      <c r="G18" s="170"/>
      <c r="H18" s="180"/>
      <c r="I18" s="172"/>
      <c r="J18" s="167"/>
      <c r="K18" s="172"/>
      <c r="L18" s="169"/>
      <c r="M18" s="171"/>
      <c r="N18" s="166"/>
      <c r="O18" s="167"/>
      <c r="P18" s="168"/>
      <c r="Q18" s="171"/>
    </row>
    <row r="19" spans="2:17" x14ac:dyDescent="0.35">
      <c r="B19" s="166"/>
      <c r="C19" s="167"/>
      <c r="D19" s="168"/>
      <c r="E19" s="169"/>
      <c r="F19" s="169"/>
      <c r="G19" s="170"/>
      <c r="H19" s="180"/>
      <c r="I19" s="172"/>
      <c r="J19" s="167"/>
      <c r="K19" s="172"/>
      <c r="L19" s="169"/>
      <c r="M19" s="171"/>
      <c r="N19" s="166"/>
      <c r="O19" s="167"/>
      <c r="P19" s="168"/>
      <c r="Q19" s="171"/>
    </row>
    <row r="20" spans="2:17" x14ac:dyDescent="0.35">
      <c r="B20" s="166"/>
      <c r="C20" s="167"/>
      <c r="D20" s="168"/>
      <c r="E20" s="169"/>
      <c r="F20" s="169"/>
      <c r="G20" s="170"/>
      <c r="H20" s="180"/>
      <c r="I20" s="172"/>
      <c r="J20" s="167"/>
      <c r="K20" s="172"/>
      <c r="L20" s="169"/>
      <c r="M20" s="171"/>
      <c r="N20" s="166"/>
      <c r="O20" s="167"/>
      <c r="P20" s="168"/>
      <c r="Q20" s="171"/>
    </row>
    <row r="21" spans="2:17" ht="15" thickBot="1" x14ac:dyDescent="0.4">
      <c r="B21" s="174"/>
      <c r="C21" s="175"/>
      <c r="D21" s="74"/>
      <c r="E21" s="176"/>
      <c r="F21" s="176"/>
      <c r="G21" s="72"/>
      <c r="H21" s="181"/>
      <c r="I21" s="178"/>
      <c r="J21" s="175"/>
      <c r="K21" s="178"/>
      <c r="L21" s="176"/>
      <c r="M21" s="177"/>
      <c r="N21" s="174"/>
      <c r="O21" s="175"/>
      <c r="P21" s="178"/>
      <c r="Q21" s="177"/>
    </row>
    <row r="22" spans="2:17" ht="15" thickTop="1" x14ac:dyDescent="0.35"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 t="s">
        <v>33</v>
      </c>
      <c r="M22" s="77"/>
      <c r="N22" s="77"/>
      <c r="O22" s="77"/>
      <c r="P22" s="77"/>
      <c r="Q22" s="77"/>
    </row>
    <row r="23" spans="2:17" x14ac:dyDescent="0.35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9"/>
      <c r="M23" s="79"/>
      <c r="N23" s="79"/>
      <c r="O23" s="77"/>
      <c r="P23" s="77"/>
      <c r="Q23" s="77"/>
    </row>
    <row r="24" spans="2:17" x14ac:dyDescent="0.35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 t="s">
        <v>4</v>
      </c>
      <c r="M24" s="77" t="s">
        <v>49</v>
      </c>
      <c r="N24" s="77"/>
      <c r="O24" s="77"/>
      <c r="P24" s="77"/>
      <c r="Q24" s="77"/>
    </row>
    <row r="25" spans="2:17" x14ac:dyDescent="0.35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9"/>
      <c r="M25" s="79"/>
      <c r="N25" s="79"/>
      <c r="O25" s="77"/>
      <c r="P25" s="77"/>
      <c r="Q25" s="77"/>
    </row>
    <row r="26" spans="2:17" x14ac:dyDescent="0.35"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 t="s">
        <v>19</v>
      </c>
      <c r="N26" s="77"/>
      <c r="O26" s="77"/>
      <c r="P26" s="77"/>
      <c r="Q26" s="77"/>
    </row>
  </sheetData>
  <mergeCells count="15">
    <mergeCell ref="P1:Q1"/>
    <mergeCell ref="B2:Q2"/>
    <mergeCell ref="B4:Q4"/>
    <mergeCell ref="B5:Q5"/>
    <mergeCell ref="H9:M9"/>
    <mergeCell ref="P9:Q10"/>
    <mergeCell ref="M10:M11"/>
    <mergeCell ref="G10:G11"/>
    <mergeCell ref="N9:N11"/>
    <mergeCell ref="O9:O11"/>
    <mergeCell ref="H10:H11"/>
    <mergeCell ref="I10:I11"/>
    <mergeCell ref="J10:J11"/>
    <mergeCell ref="K10:K11"/>
    <mergeCell ref="L10:L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9825-7361-4A6D-A14E-AEC0AE17A5CB}">
  <dimension ref="B1:R28"/>
  <sheetViews>
    <sheetView zoomScale="115" zoomScaleNormal="115" workbookViewId="0">
      <selection activeCell="C6" sqref="C6"/>
    </sheetView>
  </sheetViews>
  <sheetFormatPr defaultRowHeight="14.5" x14ac:dyDescent="0.35"/>
  <cols>
    <col min="2" max="2" width="6.7265625" customWidth="1"/>
    <col min="3" max="3" width="6.54296875" customWidth="1"/>
    <col min="4" max="4" width="7.7265625" customWidth="1"/>
    <col min="5" max="5" width="18.26953125" customWidth="1"/>
    <col min="6" max="6" width="7.1796875" hidden="1" customWidth="1"/>
    <col min="7" max="8" width="6.7265625" customWidth="1"/>
    <col min="9" max="14" width="5.7265625" customWidth="1"/>
    <col min="15" max="15" width="9.453125" customWidth="1"/>
    <col min="16" max="16" width="3.453125" customWidth="1"/>
    <col min="17" max="18" width="6.7265625" customWidth="1"/>
  </cols>
  <sheetData>
    <row r="1" spans="2:18" ht="15.5" x14ac:dyDescent="0.35">
      <c r="Q1" s="352" t="s">
        <v>63</v>
      </c>
      <c r="R1" s="352"/>
    </row>
    <row r="2" spans="2:18" ht="24.5" x14ac:dyDescent="0.7">
      <c r="B2" s="321" t="s">
        <v>64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</row>
    <row r="3" spans="2:18" x14ac:dyDescent="0.3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2:18" x14ac:dyDescent="0.35">
      <c r="B4" s="311" t="s">
        <v>5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</row>
    <row r="5" spans="2:18" x14ac:dyDescent="0.35">
      <c r="B5" s="311" t="s">
        <v>65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</row>
    <row r="6" spans="2:18" x14ac:dyDescent="0.35">
      <c r="B6" s="58" t="s">
        <v>66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 t="s">
        <v>53</v>
      </c>
      <c r="P6" s="58"/>
      <c r="Q6" s="58"/>
      <c r="R6" s="58"/>
    </row>
    <row r="7" spans="2:18" ht="16" thickBot="1" x14ac:dyDescent="0.4">
      <c r="C7" s="54"/>
      <c r="D7" s="54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</row>
    <row r="8" spans="2:18" ht="15.5" thickTop="1" thickBot="1" x14ac:dyDescent="0.4">
      <c r="B8" s="143"/>
      <c r="C8" s="144" t="s">
        <v>67</v>
      </c>
      <c r="D8" s="145"/>
      <c r="E8" s="146"/>
      <c r="F8" s="146"/>
      <c r="G8" s="375" t="s">
        <v>57</v>
      </c>
      <c r="H8" s="355"/>
      <c r="I8" s="354" t="s">
        <v>41</v>
      </c>
      <c r="J8" s="354"/>
      <c r="K8" s="354"/>
      <c r="L8" s="354"/>
      <c r="M8" s="354"/>
      <c r="N8" s="355"/>
      <c r="O8" s="364" t="s">
        <v>11</v>
      </c>
      <c r="P8" s="367" t="s">
        <v>61</v>
      </c>
      <c r="Q8" s="356" t="s">
        <v>62</v>
      </c>
      <c r="R8" s="357"/>
    </row>
    <row r="9" spans="2:18" ht="15.5" thickTop="1" thickBot="1" x14ac:dyDescent="0.4">
      <c r="B9" s="148" t="s">
        <v>58</v>
      </c>
      <c r="C9" s="149" t="s">
        <v>68</v>
      </c>
      <c r="D9" s="94" t="s">
        <v>44</v>
      </c>
      <c r="E9" s="150" t="s">
        <v>69</v>
      </c>
      <c r="G9" s="362"/>
      <c r="H9" s="151"/>
      <c r="I9" s="372"/>
      <c r="J9" s="372"/>
      <c r="K9" s="373"/>
      <c r="L9" s="373"/>
      <c r="M9" s="373"/>
      <c r="N9" s="360"/>
      <c r="O9" s="365"/>
      <c r="P9" s="368"/>
      <c r="Q9" s="358"/>
      <c r="R9" s="359"/>
    </row>
    <row r="10" spans="2:18" ht="15.5" thickTop="1" thickBot="1" x14ac:dyDescent="0.4">
      <c r="B10" s="152"/>
      <c r="C10" s="153" t="s">
        <v>31</v>
      </c>
      <c r="D10" s="154"/>
      <c r="E10" s="103"/>
      <c r="F10" s="103"/>
      <c r="G10" s="363"/>
      <c r="H10" s="155"/>
      <c r="I10" s="335"/>
      <c r="J10" s="335"/>
      <c r="K10" s="374"/>
      <c r="L10" s="374"/>
      <c r="M10" s="374"/>
      <c r="N10" s="361"/>
      <c r="O10" s="366"/>
      <c r="P10" s="369"/>
      <c r="Q10" s="156" t="s">
        <v>14</v>
      </c>
      <c r="R10" s="157" t="s">
        <v>15</v>
      </c>
    </row>
    <row r="11" spans="2:18" ht="15" thickTop="1" x14ac:dyDescent="0.35">
      <c r="B11" s="158"/>
      <c r="C11" s="159"/>
      <c r="D11" s="160"/>
      <c r="E11" s="161"/>
      <c r="F11" s="161"/>
      <c r="G11" s="162"/>
      <c r="H11" s="120"/>
      <c r="I11" s="119"/>
      <c r="J11" s="118"/>
      <c r="K11" s="114"/>
      <c r="L11" s="118"/>
      <c r="M11" s="115"/>
      <c r="N11" s="120"/>
      <c r="O11" s="113"/>
      <c r="P11" s="114"/>
      <c r="Q11" s="118"/>
      <c r="R11" s="183"/>
    </row>
    <row r="12" spans="2:18" x14ac:dyDescent="0.35">
      <c r="B12" s="166"/>
      <c r="C12" s="167"/>
      <c r="D12" s="168"/>
      <c r="E12" s="169"/>
      <c r="F12" s="169"/>
      <c r="G12" s="170"/>
      <c r="H12" s="184"/>
      <c r="I12" s="185"/>
      <c r="J12" s="186"/>
      <c r="K12" s="187"/>
      <c r="L12" s="186"/>
      <c r="M12" s="188"/>
      <c r="N12" s="184"/>
      <c r="O12" s="189"/>
      <c r="P12" s="187"/>
      <c r="Q12" s="186"/>
      <c r="R12" s="190"/>
    </row>
    <row r="13" spans="2:18" x14ac:dyDescent="0.35">
      <c r="B13" s="166"/>
      <c r="C13" s="167"/>
      <c r="D13" s="168"/>
      <c r="E13" s="169"/>
      <c r="F13" s="169"/>
      <c r="G13" s="170"/>
      <c r="H13" s="184"/>
      <c r="I13" s="185"/>
      <c r="J13" s="186"/>
      <c r="K13" s="187"/>
      <c r="L13" s="186"/>
      <c r="M13" s="191"/>
      <c r="N13" s="184"/>
      <c r="O13" s="189"/>
      <c r="P13" s="187"/>
      <c r="Q13" s="186"/>
      <c r="R13" s="190"/>
    </row>
    <row r="14" spans="2:18" x14ac:dyDescent="0.35">
      <c r="B14" s="166"/>
      <c r="C14" s="167"/>
      <c r="D14" s="168"/>
      <c r="E14" s="169"/>
      <c r="F14" s="169"/>
      <c r="G14" s="170"/>
      <c r="H14" s="184"/>
      <c r="I14" s="185"/>
      <c r="J14" s="186"/>
      <c r="K14" s="187"/>
      <c r="L14" s="186"/>
      <c r="M14" s="188"/>
      <c r="N14" s="184"/>
      <c r="O14" s="189"/>
      <c r="P14" s="187"/>
      <c r="Q14" s="186"/>
      <c r="R14" s="190"/>
    </row>
    <row r="15" spans="2:18" x14ac:dyDescent="0.35">
      <c r="B15" s="166"/>
      <c r="C15" s="167"/>
      <c r="D15" s="168"/>
      <c r="E15" s="169"/>
      <c r="F15" s="169"/>
      <c r="G15" s="170"/>
      <c r="H15" s="184"/>
      <c r="I15" s="185"/>
      <c r="J15" s="186"/>
      <c r="K15" s="187"/>
      <c r="L15" s="186"/>
      <c r="M15" s="188"/>
      <c r="N15" s="184"/>
      <c r="O15" s="189"/>
      <c r="P15" s="187"/>
      <c r="Q15" s="186"/>
      <c r="R15" s="190"/>
    </row>
    <row r="16" spans="2:18" x14ac:dyDescent="0.35">
      <c r="B16" s="166"/>
      <c r="C16" s="167"/>
      <c r="D16" s="168"/>
      <c r="E16" s="169"/>
      <c r="F16" s="169"/>
      <c r="G16" s="170"/>
      <c r="H16" s="184"/>
      <c r="I16" s="185"/>
      <c r="J16" s="186"/>
      <c r="K16" s="187"/>
      <c r="L16" s="186"/>
      <c r="M16" s="188"/>
      <c r="N16" s="184"/>
      <c r="O16" s="189"/>
      <c r="P16" s="187"/>
      <c r="Q16" s="186"/>
      <c r="R16" s="190"/>
    </row>
    <row r="17" spans="2:18" x14ac:dyDescent="0.35">
      <c r="B17" s="166"/>
      <c r="C17" s="167"/>
      <c r="D17" s="168"/>
      <c r="E17" s="169"/>
      <c r="F17" s="169"/>
      <c r="G17" s="170"/>
      <c r="H17" s="184"/>
      <c r="I17" s="185"/>
      <c r="J17" s="186"/>
      <c r="K17" s="187"/>
      <c r="L17" s="186"/>
      <c r="M17" s="188"/>
      <c r="N17" s="184"/>
      <c r="O17" s="189"/>
      <c r="P17" s="187"/>
      <c r="Q17" s="185"/>
      <c r="R17" s="184"/>
    </row>
    <row r="18" spans="2:18" x14ac:dyDescent="0.35">
      <c r="B18" s="166"/>
      <c r="C18" s="167"/>
      <c r="D18" s="168"/>
      <c r="E18" s="169"/>
      <c r="F18" s="169"/>
      <c r="G18" s="170"/>
      <c r="H18" s="184"/>
      <c r="I18" s="185"/>
      <c r="J18" s="186"/>
      <c r="K18" s="187"/>
      <c r="L18" s="186"/>
      <c r="M18" s="188"/>
      <c r="N18" s="184"/>
      <c r="O18" s="189"/>
      <c r="P18" s="187"/>
      <c r="Q18" s="185"/>
      <c r="R18" s="184"/>
    </row>
    <row r="19" spans="2:18" x14ac:dyDescent="0.35">
      <c r="B19" s="166"/>
      <c r="C19" s="167"/>
      <c r="D19" s="168"/>
      <c r="E19" s="169"/>
      <c r="F19" s="169"/>
      <c r="G19" s="170"/>
      <c r="H19" s="184"/>
      <c r="I19" s="185"/>
      <c r="J19" s="186"/>
      <c r="K19" s="187"/>
      <c r="L19" s="186"/>
      <c r="M19" s="188"/>
      <c r="N19" s="184"/>
      <c r="O19" s="189"/>
      <c r="P19" s="187"/>
      <c r="Q19" s="185"/>
      <c r="R19" s="184"/>
    </row>
    <row r="20" spans="2:18" x14ac:dyDescent="0.35">
      <c r="B20" s="166"/>
      <c r="C20" s="167"/>
      <c r="D20" s="168"/>
      <c r="E20" s="169"/>
      <c r="F20" s="169"/>
      <c r="G20" s="170"/>
      <c r="H20" s="184"/>
      <c r="I20" s="185"/>
      <c r="J20" s="186"/>
      <c r="K20" s="187"/>
      <c r="L20" s="186"/>
      <c r="M20" s="188"/>
      <c r="N20" s="184"/>
      <c r="O20" s="189"/>
      <c r="P20" s="187"/>
      <c r="Q20" s="185"/>
      <c r="R20" s="184"/>
    </row>
    <row r="21" spans="2:18" x14ac:dyDescent="0.35">
      <c r="B21" s="166"/>
      <c r="C21" s="167"/>
      <c r="D21" s="168"/>
      <c r="E21" s="169"/>
      <c r="F21" s="169"/>
      <c r="G21" s="170"/>
      <c r="H21" s="184"/>
      <c r="I21" s="185"/>
      <c r="J21" s="186"/>
      <c r="K21" s="187"/>
      <c r="L21" s="186"/>
      <c r="M21" s="188"/>
      <c r="N21" s="184"/>
      <c r="O21" s="189"/>
      <c r="P21" s="187"/>
      <c r="Q21" s="185"/>
      <c r="R21" s="184"/>
    </row>
    <row r="22" spans="2:18" x14ac:dyDescent="0.35">
      <c r="B22" s="166"/>
      <c r="C22" s="167"/>
      <c r="D22" s="168"/>
      <c r="E22" s="169"/>
      <c r="F22" s="169"/>
      <c r="G22" s="170"/>
      <c r="H22" s="184"/>
      <c r="I22" s="185"/>
      <c r="J22" s="186"/>
      <c r="K22" s="187"/>
      <c r="L22" s="186"/>
      <c r="M22" s="188"/>
      <c r="N22" s="184"/>
      <c r="O22" s="189"/>
      <c r="P22" s="187"/>
      <c r="Q22" s="185"/>
      <c r="R22" s="184"/>
    </row>
    <row r="23" spans="2:18" ht="15" thickBot="1" x14ac:dyDescent="0.4">
      <c r="B23" s="174"/>
      <c r="C23" s="175"/>
      <c r="D23" s="74"/>
      <c r="E23" s="176"/>
      <c r="F23" s="176"/>
      <c r="G23" s="72"/>
      <c r="H23" s="139"/>
      <c r="I23" s="192"/>
      <c r="J23" s="138"/>
      <c r="K23" s="193"/>
      <c r="L23" s="138"/>
      <c r="M23" s="194"/>
      <c r="N23" s="139"/>
      <c r="O23" s="195"/>
      <c r="P23" s="193"/>
      <c r="Q23" s="138"/>
      <c r="R23" s="139"/>
    </row>
    <row r="24" spans="2:18" ht="15" thickTop="1" x14ac:dyDescent="0.35">
      <c r="M24" t="s">
        <v>33</v>
      </c>
    </row>
    <row r="25" spans="2:18" x14ac:dyDescent="0.35">
      <c r="N25" s="196"/>
      <c r="O25" s="196"/>
      <c r="P25" s="196"/>
    </row>
    <row r="26" spans="2:18" x14ac:dyDescent="0.35">
      <c r="N26" t="s">
        <v>4</v>
      </c>
      <c r="O26" t="s">
        <v>70</v>
      </c>
    </row>
    <row r="27" spans="2:18" x14ac:dyDescent="0.35">
      <c r="N27" s="196"/>
      <c r="O27" s="196"/>
      <c r="P27" s="196"/>
    </row>
    <row r="28" spans="2:18" x14ac:dyDescent="0.35">
      <c r="N28" t="s">
        <v>19</v>
      </c>
    </row>
  </sheetData>
  <mergeCells count="16">
    <mergeCell ref="N9:N10"/>
    <mergeCell ref="O8:O10"/>
    <mergeCell ref="P8:P10"/>
    <mergeCell ref="Q8:R9"/>
    <mergeCell ref="G9:G10"/>
    <mergeCell ref="I9:I10"/>
    <mergeCell ref="J9:J10"/>
    <mergeCell ref="K9:K10"/>
    <mergeCell ref="L9:L10"/>
    <mergeCell ref="M9:M10"/>
    <mergeCell ref="Q1:R1"/>
    <mergeCell ref="B2:R2"/>
    <mergeCell ref="B4:R4"/>
    <mergeCell ref="B5:R5"/>
    <mergeCell ref="G8:H8"/>
    <mergeCell ref="I8:N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E518-BA5E-4EB7-B265-F33A728C57AA}">
  <dimension ref="A1:F278"/>
  <sheetViews>
    <sheetView workbookViewId="0">
      <selection activeCell="H280" sqref="H280"/>
    </sheetView>
  </sheetViews>
  <sheetFormatPr defaultRowHeight="14.5" x14ac:dyDescent="0.35"/>
  <cols>
    <col min="1" max="1" width="61.453125" customWidth="1"/>
    <col min="2" max="2" width="12.453125" customWidth="1"/>
    <col min="3" max="4" width="14.81640625" hidden="1" customWidth="1"/>
    <col min="5" max="5" width="14.453125" customWidth="1"/>
    <col min="6" max="6" width="14.1796875" customWidth="1"/>
  </cols>
  <sheetData>
    <row r="1" spans="1:6" x14ac:dyDescent="0.35">
      <c r="A1" s="377" t="s">
        <v>71</v>
      </c>
      <c r="B1" s="377"/>
      <c r="C1" s="377"/>
      <c r="D1" s="377"/>
      <c r="E1" s="377"/>
      <c r="F1" s="377"/>
    </row>
    <row r="2" spans="1:6" x14ac:dyDescent="0.35">
      <c r="A2" s="377" t="s">
        <v>72</v>
      </c>
      <c r="B2" s="377"/>
      <c r="C2" s="377"/>
      <c r="D2" s="377"/>
      <c r="E2" s="377"/>
      <c r="F2" s="377"/>
    </row>
    <row r="3" spans="1:6" x14ac:dyDescent="0.35">
      <c r="A3" s="377" t="s">
        <v>73</v>
      </c>
      <c r="B3" s="377"/>
      <c r="C3" s="377"/>
      <c r="D3" s="377"/>
      <c r="E3" s="377"/>
      <c r="F3" s="377"/>
    </row>
    <row r="4" spans="1:6" x14ac:dyDescent="0.35">
      <c r="A4" s="377" t="s">
        <v>607</v>
      </c>
      <c r="B4" s="377"/>
      <c r="C4" s="377"/>
      <c r="D4" s="377"/>
      <c r="E4" s="377"/>
      <c r="F4" s="377"/>
    </row>
    <row r="5" spans="1:6" ht="15" thickBot="1" x14ac:dyDescent="0.4">
      <c r="A5" s="253"/>
      <c r="B5" s="253"/>
      <c r="C5" s="253"/>
      <c r="D5" s="253"/>
      <c r="E5" s="253"/>
      <c r="F5" s="253"/>
    </row>
    <row r="6" spans="1:6" x14ac:dyDescent="0.35">
      <c r="A6" s="378" t="s">
        <v>74</v>
      </c>
      <c r="B6" s="378" t="s">
        <v>75</v>
      </c>
      <c r="C6" s="380"/>
      <c r="D6" s="381"/>
      <c r="E6" s="380" t="s">
        <v>608</v>
      </c>
      <c r="F6" s="381"/>
    </row>
    <row r="7" spans="1:6" ht="15" thickBot="1" x14ac:dyDescent="0.4">
      <c r="A7" s="379"/>
      <c r="B7" s="379"/>
      <c r="C7" s="205" t="s">
        <v>80</v>
      </c>
      <c r="D7" s="206" t="s">
        <v>81</v>
      </c>
      <c r="E7" s="205" t="s">
        <v>82</v>
      </c>
      <c r="F7" s="206" t="s">
        <v>83</v>
      </c>
    </row>
    <row r="8" spans="1:6" x14ac:dyDescent="0.35">
      <c r="A8" s="208" t="s">
        <v>84</v>
      </c>
      <c r="B8" s="209" t="s">
        <v>85</v>
      </c>
      <c r="C8" s="210" t="e">
        <f>#REF!+#REF!+#REF!+#REF!+#REF!</f>
        <v>#REF!</v>
      </c>
      <c r="D8" s="211" t="e">
        <f>#REF!+#REF!+#REF!+#REF!+#REF!</f>
        <v>#REF!</v>
      </c>
      <c r="E8" s="212"/>
      <c r="F8" s="213"/>
    </row>
    <row r="9" spans="1:6" x14ac:dyDescent="0.35">
      <c r="A9" s="219" t="s">
        <v>86</v>
      </c>
      <c r="B9" s="220" t="s">
        <v>87</v>
      </c>
      <c r="C9" s="210" t="e">
        <f>#REF!+#REF!+#REF!+#REF!+#REF!</f>
        <v>#REF!</v>
      </c>
      <c r="D9" s="211" t="e">
        <f>#REF!+#REF!+#REF!+#REF!+#REF!</f>
        <v>#REF!</v>
      </c>
      <c r="E9" s="212"/>
      <c r="F9" s="211"/>
    </row>
    <row r="10" spans="1:6" x14ac:dyDescent="0.35">
      <c r="A10" s="219" t="s">
        <v>88</v>
      </c>
      <c r="B10" s="220" t="s">
        <v>89</v>
      </c>
      <c r="C10" s="210" t="e">
        <f>#REF!+#REF!+#REF!+#REF!+#REF!</f>
        <v>#REF!</v>
      </c>
      <c r="D10" s="211" t="e">
        <f>#REF!+#REF!+#REF!+#REF!+#REF!</f>
        <v>#REF!</v>
      </c>
      <c r="E10" s="212"/>
      <c r="F10" s="211"/>
    </row>
    <row r="11" spans="1:6" x14ac:dyDescent="0.35">
      <c r="A11" s="219" t="s">
        <v>90</v>
      </c>
      <c r="B11" s="224" t="s">
        <v>91</v>
      </c>
      <c r="C11" s="210" t="e">
        <f>#REF!+#REF!+#REF!+#REF!+#REF!</f>
        <v>#REF!</v>
      </c>
      <c r="D11" s="211" t="e">
        <f>#REF!+#REF!+#REF!+#REF!+#REF!</f>
        <v>#REF!</v>
      </c>
      <c r="E11" s="212"/>
      <c r="F11" s="211"/>
    </row>
    <row r="12" spans="1:6" x14ac:dyDescent="0.35">
      <c r="A12" s="219" t="s">
        <v>92</v>
      </c>
      <c r="B12" s="224" t="s">
        <v>93</v>
      </c>
      <c r="C12" s="210" t="e">
        <f>#REF!+#REF!+#REF!+#REF!+#REF!</f>
        <v>#REF!</v>
      </c>
      <c r="D12" s="211" t="e">
        <f>#REF!+#REF!+#REF!+#REF!+#REF!</f>
        <v>#REF!</v>
      </c>
      <c r="E12" s="212"/>
      <c r="F12" s="211"/>
    </row>
    <row r="13" spans="1:6" x14ac:dyDescent="0.35">
      <c r="A13" s="219" t="s">
        <v>94</v>
      </c>
      <c r="B13" s="224" t="s">
        <v>95</v>
      </c>
      <c r="C13" s="210" t="e">
        <f>#REF!+#REF!+#REF!+#REF!+#REF!</f>
        <v>#REF!</v>
      </c>
      <c r="D13" s="211" t="e">
        <f>#REF!+#REF!+#REF!+#REF!+#REF!</f>
        <v>#REF!</v>
      </c>
      <c r="E13" s="212"/>
      <c r="F13" s="211"/>
    </row>
    <row r="14" spans="1:6" x14ac:dyDescent="0.35">
      <c r="A14" s="219" t="s">
        <v>96</v>
      </c>
      <c r="B14" s="224" t="s">
        <v>97</v>
      </c>
      <c r="C14" s="210" t="e">
        <f>#REF!+#REF!+#REF!+#REF!+#REF!</f>
        <v>#REF!</v>
      </c>
      <c r="D14" s="211" t="e">
        <f>#REF!+#REF!+#REF!+#REF!+#REF!</f>
        <v>#REF!</v>
      </c>
      <c r="E14" s="212"/>
      <c r="F14" s="211"/>
    </row>
    <row r="15" spans="1:6" x14ac:dyDescent="0.35">
      <c r="A15" s="219" t="s">
        <v>98</v>
      </c>
      <c r="B15" s="224" t="s">
        <v>99</v>
      </c>
      <c r="C15" s="210" t="e">
        <f>#REF!+#REF!+#REF!+#REF!+#REF!</f>
        <v>#REF!</v>
      </c>
      <c r="D15" s="211" t="e">
        <f>#REF!+#REF!+#REF!+#REF!+#REF!</f>
        <v>#REF!</v>
      </c>
      <c r="E15" s="212"/>
      <c r="F15" s="211"/>
    </row>
    <row r="16" spans="1:6" x14ac:dyDescent="0.35">
      <c r="A16" s="219" t="s">
        <v>100</v>
      </c>
      <c r="B16" s="224" t="s">
        <v>101</v>
      </c>
      <c r="C16" s="210" t="e">
        <f>#REF!+#REF!+#REF!+#REF!+#REF!</f>
        <v>#REF!</v>
      </c>
      <c r="D16" s="211" t="e">
        <f>#REF!+#REF!+#REF!+#REF!+#REF!</f>
        <v>#REF!</v>
      </c>
      <c r="E16" s="212"/>
      <c r="F16" s="211"/>
    </row>
    <row r="17" spans="1:6" x14ac:dyDescent="0.35">
      <c r="A17" s="226" t="s">
        <v>102</v>
      </c>
      <c r="B17" s="224" t="s">
        <v>103</v>
      </c>
      <c r="C17" s="210" t="e">
        <f>#REF!+#REF!+#REF!+#REF!+#REF!</f>
        <v>#REF!</v>
      </c>
      <c r="D17" s="211" t="e">
        <f>#REF!+#REF!+#REF!+#REF!+#REF!</f>
        <v>#REF!</v>
      </c>
      <c r="E17" s="212"/>
      <c r="F17" s="211"/>
    </row>
    <row r="18" spans="1:6" x14ac:dyDescent="0.35">
      <c r="A18" s="219" t="s">
        <v>104</v>
      </c>
      <c r="B18" s="224" t="s">
        <v>105</v>
      </c>
      <c r="C18" s="210" t="e">
        <f>#REF!+#REF!+#REF!+#REF!+#REF!</f>
        <v>#REF!</v>
      </c>
      <c r="D18" s="211" t="e">
        <f>#REF!+#REF!+#REF!+#REF!+#REF!</f>
        <v>#REF!</v>
      </c>
      <c r="E18" s="212"/>
      <c r="F18" s="211"/>
    </row>
    <row r="19" spans="1:6" x14ac:dyDescent="0.35">
      <c r="A19" s="219" t="s">
        <v>106</v>
      </c>
      <c r="B19" s="224" t="s">
        <v>107</v>
      </c>
      <c r="C19" s="210" t="e">
        <f>#REF!+#REF!+#REF!+#REF!+#REF!</f>
        <v>#REF!</v>
      </c>
      <c r="D19" s="211" t="e">
        <f>#REF!+#REF!+#REF!+#REF!+#REF!</f>
        <v>#REF!</v>
      </c>
      <c r="E19" s="212"/>
      <c r="F19" s="211"/>
    </row>
    <row r="20" spans="1:6" x14ac:dyDescent="0.35">
      <c r="A20" s="219" t="s">
        <v>108</v>
      </c>
      <c r="B20" s="220" t="s">
        <v>109</v>
      </c>
      <c r="C20" s="210" t="e">
        <f>#REF!+#REF!+#REF!+#REF!+#REF!</f>
        <v>#REF!</v>
      </c>
      <c r="D20" s="211" t="e">
        <f>#REF!+#REF!+#REF!+#REF!+#REF!</f>
        <v>#REF!</v>
      </c>
      <c r="E20" s="212"/>
      <c r="F20" s="211"/>
    </row>
    <row r="21" spans="1:6" x14ac:dyDescent="0.35">
      <c r="A21" s="226" t="s">
        <v>110</v>
      </c>
      <c r="B21" s="220" t="s">
        <v>111</v>
      </c>
      <c r="C21" s="210" t="e">
        <f>#REF!+#REF!+#REF!+#REF!+#REF!</f>
        <v>#REF!</v>
      </c>
      <c r="D21" s="211" t="e">
        <f>#REF!+#REF!+#REF!+#REF!+#REF!</f>
        <v>#REF!</v>
      </c>
      <c r="E21" s="212"/>
      <c r="F21" s="211"/>
    </row>
    <row r="22" spans="1:6" x14ac:dyDescent="0.35">
      <c r="A22" s="219" t="s">
        <v>112</v>
      </c>
      <c r="B22" s="220" t="s">
        <v>113</v>
      </c>
      <c r="C22" s="210" t="e">
        <f>#REF!+#REF!+#REF!+#REF!+#REF!</f>
        <v>#REF!</v>
      </c>
      <c r="D22" s="211" t="e">
        <f>#REF!+#REF!+#REF!+#REF!+#REF!</f>
        <v>#REF!</v>
      </c>
      <c r="E22" s="212"/>
      <c r="F22" s="211"/>
    </row>
    <row r="23" spans="1:6" x14ac:dyDescent="0.35">
      <c r="A23" s="219" t="s">
        <v>114</v>
      </c>
      <c r="B23" s="224" t="s">
        <v>115</v>
      </c>
      <c r="C23" s="210" t="e">
        <f>#REF!+#REF!+#REF!+#REF!+#REF!</f>
        <v>#REF!</v>
      </c>
      <c r="D23" s="211" t="e">
        <f>#REF!+#REF!+#REF!+#REF!+#REF!</f>
        <v>#REF!</v>
      </c>
      <c r="E23" s="212"/>
      <c r="F23" s="211"/>
    </row>
    <row r="24" spans="1:6" x14ac:dyDescent="0.35">
      <c r="A24" s="219" t="s">
        <v>116</v>
      </c>
      <c r="B24" s="224" t="s">
        <v>117</v>
      </c>
      <c r="C24" s="210" t="e">
        <f>#REF!+#REF!+#REF!+#REF!+#REF!</f>
        <v>#REF!</v>
      </c>
      <c r="D24" s="211" t="e">
        <f>#REF!+#REF!+#REF!+#REF!+#REF!</f>
        <v>#REF!</v>
      </c>
      <c r="E24" s="212"/>
      <c r="F24" s="211"/>
    </row>
    <row r="25" spans="1:6" x14ac:dyDescent="0.35">
      <c r="A25" s="219" t="s">
        <v>118</v>
      </c>
      <c r="B25" s="224" t="s">
        <v>119</v>
      </c>
      <c r="C25" s="210" t="e">
        <f>#REF!+#REF!+#REF!+#REF!+#REF!</f>
        <v>#REF!</v>
      </c>
      <c r="D25" s="211" t="e">
        <f>#REF!+#REF!+#REF!+#REF!+#REF!</f>
        <v>#REF!</v>
      </c>
      <c r="E25" s="212"/>
      <c r="F25" s="211"/>
    </row>
    <row r="26" spans="1:6" x14ac:dyDescent="0.35">
      <c r="A26" s="219" t="s">
        <v>120</v>
      </c>
      <c r="B26" s="224" t="s">
        <v>121</v>
      </c>
      <c r="C26" s="210" t="e">
        <f>#REF!+#REF!+#REF!+#REF!+#REF!</f>
        <v>#REF!</v>
      </c>
      <c r="D26" s="211" t="e">
        <f>#REF!+#REF!+#REF!+#REF!+#REF!</f>
        <v>#REF!</v>
      </c>
      <c r="E26" s="212"/>
      <c r="F26" s="211"/>
    </row>
    <row r="27" spans="1:6" x14ac:dyDescent="0.35">
      <c r="A27" s="219" t="s">
        <v>122</v>
      </c>
      <c r="B27" s="224" t="s">
        <v>123</v>
      </c>
      <c r="C27" s="210" t="e">
        <f>#REF!+#REF!+#REF!+#REF!+#REF!</f>
        <v>#REF!</v>
      </c>
      <c r="D27" s="211" t="e">
        <f>#REF!+#REF!+#REF!+#REF!+#REF!</f>
        <v>#REF!</v>
      </c>
      <c r="E27" s="212"/>
      <c r="F27" s="211"/>
    </row>
    <row r="28" spans="1:6" x14ac:dyDescent="0.35">
      <c r="A28" s="219" t="s">
        <v>124</v>
      </c>
      <c r="B28" s="224" t="s">
        <v>125</v>
      </c>
      <c r="C28" s="210" t="e">
        <f>#REF!+#REF!+#REF!+#REF!+#REF!</f>
        <v>#REF!</v>
      </c>
      <c r="D28" s="211" t="e">
        <f>#REF!+#REF!+#REF!+#REF!+#REF!</f>
        <v>#REF!</v>
      </c>
      <c r="E28" s="212"/>
      <c r="F28" s="211"/>
    </row>
    <row r="29" spans="1:6" x14ac:dyDescent="0.35">
      <c r="A29" s="219" t="s">
        <v>126</v>
      </c>
      <c r="B29" s="224" t="s">
        <v>127</v>
      </c>
      <c r="C29" s="210" t="e">
        <f>#REF!+#REF!+#REF!+#REF!+#REF!</f>
        <v>#REF!</v>
      </c>
      <c r="D29" s="211" t="e">
        <f>#REF!+#REF!+#REF!+#REF!+#REF!</f>
        <v>#REF!</v>
      </c>
      <c r="E29" s="212"/>
      <c r="F29" s="211"/>
    </row>
    <row r="30" spans="1:6" x14ac:dyDescent="0.35">
      <c r="A30" s="219" t="s">
        <v>128</v>
      </c>
      <c r="B30" s="224" t="s">
        <v>129</v>
      </c>
      <c r="C30" s="210" t="e">
        <f>#REF!+#REF!+#REF!+#REF!+#REF!</f>
        <v>#REF!</v>
      </c>
      <c r="D30" s="211" t="e">
        <f>#REF!+#REF!+#REF!+#REF!+#REF!</f>
        <v>#REF!</v>
      </c>
      <c r="E30" s="212"/>
      <c r="F30" s="211"/>
    </row>
    <row r="31" spans="1:6" x14ac:dyDescent="0.35">
      <c r="A31" s="219" t="s">
        <v>130</v>
      </c>
      <c r="B31" s="224" t="s">
        <v>131</v>
      </c>
      <c r="C31" s="210" t="e">
        <f>#REF!+#REF!+#REF!+#REF!+#REF!</f>
        <v>#REF!</v>
      </c>
      <c r="D31" s="211" t="e">
        <f>#REF!+#REF!+#REF!+#REF!+#REF!</f>
        <v>#REF!</v>
      </c>
      <c r="E31" s="212"/>
      <c r="F31" s="211"/>
    </row>
    <row r="32" spans="1:6" x14ac:dyDescent="0.35">
      <c r="A32" s="219" t="s">
        <v>132</v>
      </c>
      <c r="B32" s="224" t="s">
        <v>133</v>
      </c>
      <c r="C32" s="210" t="e">
        <f>#REF!+#REF!+#REF!+#REF!+#REF!</f>
        <v>#REF!</v>
      </c>
      <c r="D32" s="211" t="e">
        <f>#REF!+#REF!+#REF!+#REF!+#REF!</f>
        <v>#REF!</v>
      </c>
      <c r="E32" s="212"/>
      <c r="F32" s="211"/>
    </row>
    <row r="33" spans="1:6" x14ac:dyDescent="0.35">
      <c r="A33" s="219" t="s">
        <v>134</v>
      </c>
      <c r="B33" s="224" t="s">
        <v>135</v>
      </c>
      <c r="C33" s="210" t="e">
        <f>#REF!+#REF!+#REF!+#REF!+#REF!</f>
        <v>#REF!</v>
      </c>
      <c r="D33" s="211" t="e">
        <f>#REF!+#REF!+#REF!+#REF!+#REF!</f>
        <v>#REF!</v>
      </c>
      <c r="E33" s="212"/>
      <c r="F33" s="211"/>
    </row>
    <row r="34" spans="1:6" x14ac:dyDescent="0.35">
      <c r="A34" s="219" t="s">
        <v>136</v>
      </c>
      <c r="B34" s="224" t="s">
        <v>137</v>
      </c>
      <c r="C34" s="210" t="e">
        <f>#REF!+#REF!+#REF!+#REF!+#REF!</f>
        <v>#REF!</v>
      </c>
      <c r="D34" s="211" t="e">
        <f>#REF!+#REF!+#REF!+#REF!+#REF!</f>
        <v>#REF!</v>
      </c>
      <c r="E34" s="212"/>
      <c r="F34" s="211"/>
    </row>
    <row r="35" spans="1:6" x14ac:dyDescent="0.35">
      <c r="A35" s="219" t="s">
        <v>138</v>
      </c>
      <c r="B35" s="224" t="s">
        <v>139</v>
      </c>
      <c r="C35" s="210" t="e">
        <f>#REF!+#REF!+#REF!+#REF!+#REF!</f>
        <v>#REF!</v>
      </c>
      <c r="D35" s="211" t="e">
        <f>#REF!+#REF!+#REF!+#REF!+#REF!</f>
        <v>#REF!</v>
      </c>
      <c r="E35" s="212"/>
      <c r="F35" s="211"/>
    </row>
    <row r="36" spans="1:6" x14ac:dyDescent="0.35">
      <c r="A36" s="219" t="s">
        <v>140</v>
      </c>
      <c r="B36" s="224" t="s">
        <v>141</v>
      </c>
      <c r="C36" s="210" t="e">
        <f>#REF!+#REF!+#REF!+#REF!+#REF!</f>
        <v>#REF!</v>
      </c>
      <c r="D36" s="211" t="e">
        <f>#REF!+#REF!+#REF!+#REF!+#REF!</f>
        <v>#REF!</v>
      </c>
      <c r="E36" s="212"/>
      <c r="F36" s="211"/>
    </row>
    <row r="37" spans="1:6" x14ac:dyDescent="0.35">
      <c r="A37" s="219" t="s">
        <v>142</v>
      </c>
      <c r="B37" s="224" t="s">
        <v>143</v>
      </c>
      <c r="C37" s="210" t="e">
        <f>#REF!+#REF!+#REF!+#REF!+#REF!</f>
        <v>#REF!</v>
      </c>
      <c r="D37" s="211" t="e">
        <f>#REF!+#REF!+#REF!+#REF!+#REF!</f>
        <v>#REF!</v>
      </c>
      <c r="E37" s="212"/>
      <c r="F37" s="211"/>
    </row>
    <row r="38" spans="1:6" x14ac:dyDescent="0.35">
      <c r="A38" t="s">
        <v>144</v>
      </c>
      <c r="B38" s="224" t="s">
        <v>145</v>
      </c>
      <c r="C38" s="210" t="e">
        <f>#REF!+#REF!+#REF!+#REF!+#REF!</f>
        <v>#REF!</v>
      </c>
      <c r="D38" s="211" t="e">
        <f>#REF!+#REF!+#REF!+#REF!+#REF!</f>
        <v>#REF!</v>
      </c>
      <c r="E38" s="212"/>
      <c r="F38" s="211"/>
    </row>
    <row r="39" spans="1:6" x14ac:dyDescent="0.35">
      <c r="A39" s="219" t="s">
        <v>146</v>
      </c>
      <c r="B39" s="224" t="s">
        <v>147</v>
      </c>
      <c r="C39" s="210" t="e">
        <f>#REF!+#REF!+#REF!+#REF!+#REF!</f>
        <v>#REF!</v>
      </c>
      <c r="D39" s="211" t="e">
        <f>#REF!+#REF!+#REF!+#REF!+#REF!</f>
        <v>#REF!</v>
      </c>
      <c r="E39" s="212"/>
      <c r="F39" s="211"/>
    </row>
    <row r="40" spans="1:6" x14ac:dyDescent="0.35">
      <c r="A40" s="219" t="s">
        <v>148</v>
      </c>
      <c r="B40" s="224" t="s">
        <v>149</v>
      </c>
      <c r="C40" s="210" t="e">
        <f>#REF!+#REF!+#REF!+#REF!+#REF!</f>
        <v>#REF!</v>
      </c>
      <c r="D40" s="211" t="e">
        <f>#REF!+#REF!+#REF!+#REF!+#REF!</f>
        <v>#REF!</v>
      </c>
      <c r="E40" s="212"/>
      <c r="F40" s="211"/>
    </row>
    <row r="41" spans="1:6" x14ac:dyDescent="0.35">
      <c r="A41" s="219" t="s">
        <v>150</v>
      </c>
      <c r="B41" s="224" t="s">
        <v>151</v>
      </c>
      <c r="C41" s="210" t="e">
        <f>#REF!+#REF!+#REF!+#REF!+#REF!</f>
        <v>#REF!</v>
      </c>
      <c r="D41" s="211" t="e">
        <f>#REF!+#REF!+#REF!+#REF!+#REF!</f>
        <v>#REF!</v>
      </c>
      <c r="E41" s="212"/>
      <c r="F41" s="211"/>
    </row>
    <row r="42" spans="1:6" x14ac:dyDescent="0.35">
      <c r="A42" s="219" t="s">
        <v>152</v>
      </c>
      <c r="B42" s="224" t="s">
        <v>153</v>
      </c>
      <c r="C42" s="210" t="e">
        <f>#REF!+#REF!+#REF!+#REF!+#REF!</f>
        <v>#REF!</v>
      </c>
      <c r="D42" s="211" t="e">
        <f>#REF!+#REF!+#REF!+#REF!+#REF!</f>
        <v>#REF!</v>
      </c>
      <c r="E42" s="212"/>
      <c r="F42" s="211"/>
    </row>
    <row r="43" spans="1:6" x14ac:dyDescent="0.35">
      <c r="A43" s="219" t="s">
        <v>154</v>
      </c>
      <c r="B43" s="224" t="s">
        <v>155</v>
      </c>
      <c r="C43" s="210" t="e">
        <f>#REF!+#REF!+#REF!+#REF!+#REF!</f>
        <v>#REF!</v>
      </c>
      <c r="D43" s="211" t="e">
        <f>#REF!+#REF!+#REF!+#REF!+#REF!</f>
        <v>#REF!</v>
      </c>
      <c r="E43" s="212"/>
      <c r="F43" s="211"/>
    </row>
    <row r="44" spans="1:6" x14ac:dyDescent="0.35">
      <c r="A44" s="228" t="s">
        <v>156</v>
      </c>
      <c r="B44" s="224" t="s">
        <v>157</v>
      </c>
      <c r="C44" s="210" t="e">
        <f>#REF!+#REF!+#REF!+#REF!+#REF!</f>
        <v>#REF!</v>
      </c>
      <c r="D44" s="211" t="e">
        <f>#REF!+#REF!+#REF!+#REF!+#REF!</f>
        <v>#REF!</v>
      </c>
      <c r="E44" s="212"/>
      <c r="F44" s="211"/>
    </row>
    <row r="45" spans="1:6" x14ac:dyDescent="0.35">
      <c r="A45" s="228" t="s">
        <v>158</v>
      </c>
      <c r="B45" s="224" t="s">
        <v>159</v>
      </c>
      <c r="C45" s="210" t="e">
        <f>#REF!+#REF!+#REF!+#REF!+#REF!</f>
        <v>#REF!</v>
      </c>
      <c r="D45" s="211" t="e">
        <f>#REF!+#REF!+#REF!+#REF!+#REF!</f>
        <v>#REF!</v>
      </c>
      <c r="E45" s="212"/>
      <c r="F45" s="211"/>
    </row>
    <row r="46" spans="1:6" x14ac:dyDescent="0.35">
      <c r="A46" s="219" t="s">
        <v>160</v>
      </c>
      <c r="B46" s="224" t="s">
        <v>161</v>
      </c>
      <c r="C46" s="210" t="e">
        <f>#REF!+#REF!+#REF!+#REF!+#REF!</f>
        <v>#REF!</v>
      </c>
      <c r="D46" s="211" t="e">
        <f>#REF!+#REF!+#REF!+#REF!+#REF!</f>
        <v>#REF!</v>
      </c>
      <c r="E46" s="212"/>
      <c r="F46" s="211"/>
    </row>
    <row r="47" spans="1:6" x14ac:dyDescent="0.35">
      <c r="A47" s="219" t="s">
        <v>162</v>
      </c>
      <c r="B47" s="224" t="s">
        <v>163</v>
      </c>
      <c r="C47" s="210" t="e">
        <f>#REF!+#REF!+#REF!+#REF!+#REF!</f>
        <v>#REF!</v>
      </c>
      <c r="D47" s="211" t="e">
        <f>#REF!+#REF!+#REF!+#REF!+#REF!</f>
        <v>#REF!</v>
      </c>
      <c r="E47" s="212"/>
      <c r="F47" s="211"/>
    </row>
    <row r="48" spans="1:6" x14ac:dyDescent="0.35">
      <c r="A48" s="219" t="s">
        <v>164</v>
      </c>
      <c r="B48" s="224" t="s">
        <v>165</v>
      </c>
      <c r="C48" s="210" t="e">
        <f>#REF!+#REF!+#REF!+#REF!+#REF!</f>
        <v>#REF!</v>
      </c>
      <c r="D48" s="211" t="e">
        <f>#REF!+#REF!+#REF!+#REF!+#REF!</f>
        <v>#REF!</v>
      </c>
      <c r="E48" s="212"/>
      <c r="F48" s="211"/>
    </row>
    <row r="49" spans="1:6" x14ac:dyDescent="0.35">
      <c r="A49" s="219" t="s">
        <v>166</v>
      </c>
      <c r="B49" s="224" t="s">
        <v>167</v>
      </c>
      <c r="C49" s="210" t="e">
        <f>#REF!+#REF!+#REF!+#REF!+#REF!</f>
        <v>#REF!</v>
      </c>
      <c r="D49" s="211" t="e">
        <f>#REF!+#REF!+#REF!+#REF!+#REF!</f>
        <v>#REF!</v>
      </c>
      <c r="E49" s="212"/>
      <c r="F49" s="211"/>
    </row>
    <row r="50" spans="1:6" x14ac:dyDescent="0.35">
      <c r="A50" s="219" t="s">
        <v>168</v>
      </c>
      <c r="B50" s="224" t="s">
        <v>169</v>
      </c>
      <c r="C50" s="210" t="e">
        <f>#REF!+#REF!+#REF!+#REF!+#REF!</f>
        <v>#REF!</v>
      </c>
      <c r="D50" s="211" t="e">
        <f>#REF!+#REF!+#REF!+#REF!+#REF!</f>
        <v>#REF!</v>
      </c>
      <c r="E50" s="212"/>
      <c r="F50" s="211"/>
    </row>
    <row r="51" spans="1:6" x14ac:dyDescent="0.35">
      <c r="A51" s="219" t="s">
        <v>170</v>
      </c>
      <c r="B51" s="224" t="s">
        <v>171</v>
      </c>
      <c r="C51" s="210" t="e">
        <f>#REF!+#REF!+#REF!+#REF!+#REF!</f>
        <v>#REF!</v>
      </c>
      <c r="D51" s="211" t="e">
        <f>#REF!+#REF!+#REF!+#REF!+#REF!</f>
        <v>#REF!</v>
      </c>
      <c r="E51" s="212"/>
      <c r="F51" s="211"/>
    </row>
    <row r="52" spans="1:6" x14ac:dyDescent="0.35">
      <c r="A52" s="219" t="s">
        <v>172</v>
      </c>
      <c r="B52" s="224" t="s">
        <v>173</v>
      </c>
      <c r="C52" s="210" t="e">
        <f>#REF!+#REF!+#REF!+#REF!+#REF!</f>
        <v>#REF!</v>
      </c>
      <c r="D52" s="211" t="e">
        <f>#REF!+#REF!+#REF!+#REF!+#REF!</f>
        <v>#REF!</v>
      </c>
      <c r="E52" s="212"/>
      <c r="F52" s="211"/>
    </row>
    <row r="53" spans="1:6" x14ac:dyDescent="0.35">
      <c r="A53" s="229" t="s">
        <v>174</v>
      </c>
      <c r="B53" s="224" t="s">
        <v>175</v>
      </c>
      <c r="C53" s="210" t="e">
        <f>#REF!+#REF!+#REF!+#REF!+#REF!</f>
        <v>#REF!</v>
      </c>
      <c r="D53" s="211" t="e">
        <f>#REF!+#REF!+#REF!+#REF!+#REF!</f>
        <v>#REF!</v>
      </c>
      <c r="E53" s="212"/>
      <c r="F53" s="211"/>
    </row>
    <row r="54" spans="1:6" x14ac:dyDescent="0.35">
      <c r="A54" s="229" t="s">
        <v>176</v>
      </c>
      <c r="B54" s="224" t="s">
        <v>177</v>
      </c>
      <c r="C54" s="210" t="e">
        <f>#REF!+#REF!+#REF!+#REF!+#REF!</f>
        <v>#REF!</v>
      </c>
      <c r="D54" s="211" t="e">
        <f>#REF!+#REF!+#REF!+#REF!+#REF!</f>
        <v>#REF!</v>
      </c>
      <c r="E54" s="212"/>
      <c r="F54" s="211"/>
    </row>
    <row r="55" spans="1:6" x14ac:dyDescent="0.35">
      <c r="A55" s="229" t="s">
        <v>178</v>
      </c>
      <c r="B55" s="224" t="s">
        <v>179</v>
      </c>
      <c r="C55" s="210" t="e">
        <f>#REF!+#REF!+#REF!+#REF!+#REF!</f>
        <v>#REF!</v>
      </c>
      <c r="D55" s="211" t="e">
        <f>#REF!+#REF!+#REF!+#REF!+#REF!</f>
        <v>#REF!</v>
      </c>
      <c r="E55" s="212"/>
      <c r="F55" s="211"/>
    </row>
    <row r="56" spans="1:6" x14ac:dyDescent="0.35">
      <c r="A56" s="229" t="s">
        <v>180</v>
      </c>
      <c r="B56" s="224" t="s">
        <v>181</v>
      </c>
      <c r="C56" s="210" t="e">
        <f>#REF!+#REF!+#REF!+#REF!+#REF!</f>
        <v>#REF!</v>
      </c>
      <c r="D56" s="211" t="e">
        <f>#REF!+#REF!+#REF!+#REF!+#REF!</f>
        <v>#REF!</v>
      </c>
      <c r="E56" s="212"/>
      <c r="F56" s="211"/>
    </row>
    <row r="57" spans="1:6" x14ac:dyDescent="0.35">
      <c r="A57" s="229" t="s">
        <v>182</v>
      </c>
      <c r="B57" s="224" t="s">
        <v>183</v>
      </c>
      <c r="C57" s="210" t="e">
        <f>#REF!+#REF!+#REF!+#REF!+#REF!</f>
        <v>#REF!</v>
      </c>
      <c r="D57" s="211" t="e">
        <f>#REF!+#REF!+#REF!+#REF!+#REF!</f>
        <v>#REF!</v>
      </c>
      <c r="E57" s="212"/>
      <c r="F57" s="211"/>
    </row>
    <row r="58" spans="1:6" x14ac:dyDescent="0.35">
      <c r="A58" s="229" t="s">
        <v>184</v>
      </c>
      <c r="B58" s="224" t="s">
        <v>185</v>
      </c>
      <c r="C58" s="210" t="e">
        <f>#REF!+#REF!+#REF!+#REF!+#REF!</f>
        <v>#REF!</v>
      </c>
      <c r="D58" s="211" t="e">
        <f>#REF!+#REF!+#REF!+#REF!+#REF!</f>
        <v>#REF!</v>
      </c>
      <c r="E58" s="212"/>
      <c r="F58" s="211"/>
    </row>
    <row r="59" spans="1:6" x14ac:dyDescent="0.35">
      <c r="A59" s="229" t="s">
        <v>186</v>
      </c>
      <c r="B59" s="224" t="s">
        <v>187</v>
      </c>
      <c r="C59" s="210" t="e">
        <f>#REF!+#REF!+#REF!+#REF!+#REF!</f>
        <v>#REF!</v>
      </c>
      <c r="D59" s="211" t="e">
        <f>#REF!+#REF!+#REF!+#REF!+#REF!</f>
        <v>#REF!</v>
      </c>
      <c r="E59" s="212"/>
      <c r="F59" s="211"/>
    </row>
    <row r="60" spans="1:6" x14ac:dyDescent="0.35">
      <c r="A60" s="229" t="s">
        <v>188</v>
      </c>
      <c r="B60" s="224" t="s">
        <v>189</v>
      </c>
      <c r="C60" s="210" t="e">
        <f>#REF!+#REF!+#REF!+#REF!+#REF!</f>
        <v>#REF!</v>
      </c>
      <c r="D60" s="211" t="e">
        <f>#REF!+#REF!+#REF!+#REF!+#REF!</f>
        <v>#REF!</v>
      </c>
      <c r="E60" s="212"/>
      <c r="F60" s="211"/>
    </row>
    <row r="61" spans="1:6" x14ac:dyDescent="0.35">
      <c r="A61" s="226" t="s">
        <v>190</v>
      </c>
      <c r="B61" s="224" t="s">
        <v>191</v>
      </c>
      <c r="C61" s="210" t="e">
        <f>#REF!+#REF!+#REF!+#REF!+#REF!</f>
        <v>#REF!</v>
      </c>
      <c r="D61" s="211" t="e">
        <f>#REF!+#REF!+#REF!+#REF!+#REF!</f>
        <v>#REF!</v>
      </c>
      <c r="E61" s="212"/>
      <c r="F61" s="211"/>
    </row>
    <row r="62" spans="1:6" x14ac:dyDescent="0.35">
      <c r="A62" s="229" t="s">
        <v>192</v>
      </c>
      <c r="B62" s="224" t="s">
        <v>193</v>
      </c>
      <c r="C62" s="210" t="e">
        <f>#REF!+#REF!+#REF!+#REF!+#REF!</f>
        <v>#REF!</v>
      </c>
      <c r="D62" s="211" t="e">
        <f>#REF!+#REF!+#REF!+#REF!+#REF!</f>
        <v>#REF!</v>
      </c>
      <c r="E62" s="212"/>
      <c r="F62" s="211"/>
    </row>
    <row r="63" spans="1:6" x14ac:dyDescent="0.35">
      <c r="A63" s="229" t="s">
        <v>194</v>
      </c>
      <c r="B63" s="230" t="s">
        <v>195</v>
      </c>
      <c r="C63" s="210" t="e">
        <f>#REF!+#REF!+#REF!+#REF!+#REF!</f>
        <v>#REF!</v>
      </c>
      <c r="D63" s="211" t="e">
        <f>#REF!+#REF!+#REF!+#REF!+#REF!</f>
        <v>#REF!</v>
      </c>
      <c r="E63" s="212"/>
      <c r="F63" s="211"/>
    </row>
    <row r="64" spans="1:6" x14ac:dyDescent="0.35">
      <c r="A64" s="229" t="s">
        <v>196</v>
      </c>
      <c r="B64" s="230" t="s">
        <v>197</v>
      </c>
      <c r="C64" s="210" t="e">
        <f>#REF!+#REF!+#REF!+#REF!+#REF!</f>
        <v>#REF!</v>
      </c>
      <c r="D64" s="211" t="e">
        <f>#REF!+#REF!+#REF!+#REF!+#REF!</f>
        <v>#REF!</v>
      </c>
      <c r="E64" s="212"/>
      <c r="F64" s="211"/>
    </row>
    <row r="65" spans="1:6" x14ac:dyDescent="0.35">
      <c r="A65" s="229" t="s">
        <v>198</v>
      </c>
      <c r="B65" s="230" t="s">
        <v>199</v>
      </c>
      <c r="C65" s="210" t="e">
        <f>#REF!+#REF!+#REF!+#REF!+#REF!</f>
        <v>#REF!</v>
      </c>
      <c r="D65" s="211" t="e">
        <f>#REF!+#REF!+#REF!+#REF!+#REF!</f>
        <v>#REF!</v>
      </c>
      <c r="E65" s="212"/>
      <c r="F65" s="211"/>
    </row>
    <row r="66" spans="1:6" x14ac:dyDescent="0.35">
      <c r="A66" s="229" t="s">
        <v>200</v>
      </c>
      <c r="B66" s="230" t="s">
        <v>201</v>
      </c>
      <c r="C66" s="210" t="e">
        <f>#REF!+#REF!+#REF!+#REF!+#REF!</f>
        <v>#REF!</v>
      </c>
      <c r="D66" s="211" t="e">
        <f>#REF!+#REF!+#REF!+#REF!+#REF!</f>
        <v>#REF!</v>
      </c>
      <c r="E66" s="212"/>
      <c r="F66" s="211"/>
    </row>
    <row r="67" spans="1:6" x14ac:dyDescent="0.35">
      <c r="A67" s="226" t="s">
        <v>202</v>
      </c>
      <c r="B67" s="230" t="s">
        <v>203</v>
      </c>
      <c r="C67" s="210" t="e">
        <f>#REF!+#REF!+#REF!+#REF!+#REF!</f>
        <v>#REF!</v>
      </c>
      <c r="D67" s="211" t="e">
        <f>#REF!+#REF!+#REF!+#REF!+#REF!</f>
        <v>#REF!</v>
      </c>
      <c r="E67" s="212"/>
      <c r="F67" s="211"/>
    </row>
    <row r="68" spans="1:6" x14ac:dyDescent="0.35">
      <c r="A68" s="229" t="s">
        <v>204</v>
      </c>
      <c r="B68" s="230" t="s">
        <v>205</v>
      </c>
      <c r="C68" s="210" t="e">
        <f>#REF!+#REF!+#REF!+#REF!+#REF!</f>
        <v>#REF!</v>
      </c>
      <c r="D68" s="211" t="e">
        <f>#REF!+#REF!+#REF!+#REF!+#REF!</f>
        <v>#REF!</v>
      </c>
      <c r="E68" s="212"/>
      <c r="F68" s="211"/>
    </row>
    <row r="69" spans="1:6" x14ac:dyDescent="0.35">
      <c r="A69" s="229" t="s">
        <v>206</v>
      </c>
      <c r="B69" s="230" t="s">
        <v>207</v>
      </c>
      <c r="C69" s="210" t="e">
        <f>#REF!+#REF!+#REF!+#REF!+#REF!</f>
        <v>#REF!</v>
      </c>
      <c r="D69" s="211" t="e">
        <f>#REF!+#REF!+#REF!+#REF!+#REF!</f>
        <v>#REF!</v>
      </c>
      <c r="E69" s="212"/>
      <c r="F69" s="211"/>
    </row>
    <row r="70" spans="1:6" x14ac:dyDescent="0.35">
      <c r="A70" s="229" t="s">
        <v>208</v>
      </c>
      <c r="B70" s="230" t="s">
        <v>209</v>
      </c>
      <c r="C70" s="210" t="e">
        <f>#REF!+#REF!+#REF!+#REF!+#REF!</f>
        <v>#REF!</v>
      </c>
      <c r="D70" s="211" t="e">
        <f>#REF!+#REF!+#REF!+#REF!+#REF!</f>
        <v>#REF!</v>
      </c>
      <c r="E70" s="212"/>
      <c r="F70" s="211"/>
    </row>
    <row r="71" spans="1:6" x14ac:dyDescent="0.35">
      <c r="A71" s="229" t="s">
        <v>210</v>
      </c>
      <c r="B71" s="230" t="s">
        <v>211</v>
      </c>
      <c r="C71" s="210" t="e">
        <f>#REF!+#REF!+#REF!+#REF!+#REF!</f>
        <v>#REF!</v>
      </c>
      <c r="D71" s="211" t="e">
        <f>#REF!+#REF!+#REF!+#REF!+#REF!</f>
        <v>#REF!</v>
      </c>
      <c r="E71" s="212"/>
      <c r="F71" s="211"/>
    </row>
    <row r="72" spans="1:6" x14ac:dyDescent="0.35">
      <c r="A72" s="229" t="s">
        <v>212</v>
      </c>
      <c r="B72" s="230" t="s">
        <v>213</v>
      </c>
      <c r="C72" s="210" t="e">
        <f>#REF!+#REF!+#REF!+#REF!+#REF!</f>
        <v>#REF!</v>
      </c>
      <c r="D72" s="211" t="e">
        <f>#REF!+#REF!+#REF!+#REF!+#REF!</f>
        <v>#REF!</v>
      </c>
      <c r="E72" s="212"/>
      <c r="F72" s="211"/>
    </row>
    <row r="73" spans="1:6" x14ac:dyDescent="0.35">
      <c r="A73" s="229" t="s">
        <v>214</v>
      </c>
      <c r="B73" s="224" t="s">
        <v>215</v>
      </c>
      <c r="C73" s="210" t="e">
        <f>#REF!+#REF!+#REF!+#REF!+#REF!</f>
        <v>#REF!</v>
      </c>
      <c r="D73" s="211" t="e">
        <f>#REF!+#REF!+#REF!+#REF!+#REF!</f>
        <v>#REF!</v>
      </c>
      <c r="E73" s="212"/>
      <c r="F73" s="211"/>
    </row>
    <row r="74" spans="1:6" x14ac:dyDescent="0.35">
      <c r="A74" s="229" t="s">
        <v>216</v>
      </c>
      <c r="B74" s="224" t="s">
        <v>217</v>
      </c>
      <c r="C74" s="210" t="e">
        <f>#REF!+#REF!+#REF!+#REF!+#REF!</f>
        <v>#REF!</v>
      </c>
      <c r="D74" s="211" t="e">
        <f>#REF!+#REF!+#REF!+#REF!+#REF!</f>
        <v>#REF!</v>
      </c>
      <c r="E74" s="212"/>
      <c r="F74" s="211"/>
    </row>
    <row r="75" spans="1:6" x14ac:dyDescent="0.35">
      <c r="A75" s="229" t="s">
        <v>218</v>
      </c>
      <c r="B75" s="224" t="s">
        <v>219</v>
      </c>
      <c r="C75" s="210" t="e">
        <f>#REF!+#REF!+#REF!+#REF!+#REF!</f>
        <v>#REF!</v>
      </c>
      <c r="D75" s="211" t="e">
        <f>#REF!+#REF!+#REF!+#REF!+#REF!</f>
        <v>#REF!</v>
      </c>
      <c r="E75" s="212"/>
      <c r="F75" s="211"/>
    </row>
    <row r="76" spans="1:6" x14ac:dyDescent="0.35">
      <c r="A76" s="229" t="s">
        <v>220</v>
      </c>
      <c r="B76" s="224" t="s">
        <v>221</v>
      </c>
      <c r="C76" s="210" t="e">
        <f>#REF!+#REF!+#REF!+#REF!+#REF!</f>
        <v>#REF!</v>
      </c>
      <c r="D76" s="211" t="e">
        <f>#REF!+#REF!+#REF!+#REF!+#REF!</f>
        <v>#REF!</v>
      </c>
      <c r="E76" s="212"/>
      <c r="F76" s="211"/>
    </row>
    <row r="77" spans="1:6" x14ac:dyDescent="0.35">
      <c r="A77" s="229" t="s">
        <v>222</v>
      </c>
      <c r="B77" s="224" t="s">
        <v>223</v>
      </c>
      <c r="C77" s="210" t="e">
        <f>#REF!+#REF!+#REF!+#REF!+#REF!</f>
        <v>#REF!</v>
      </c>
      <c r="D77" s="211" t="e">
        <f>#REF!+#REF!+#REF!+#REF!+#REF!</f>
        <v>#REF!</v>
      </c>
      <c r="E77" s="212"/>
      <c r="F77" s="211"/>
    </row>
    <row r="78" spans="1:6" x14ac:dyDescent="0.35">
      <c r="A78" s="229" t="s">
        <v>224</v>
      </c>
      <c r="B78" s="224" t="s">
        <v>225</v>
      </c>
      <c r="C78" s="210" t="e">
        <f>#REF!+#REF!+#REF!+#REF!+#REF!</f>
        <v>#REF!</v>
      </c>
      <c r="D78" s="211" t="e">
        <f>#REF!+#REF!+#REF!+#REF!+#REF!</f>
        <v>#REF!</v>
      </c>
      <c r="E78" s="212"/>
      <c r="F78" s="211"/>
    </row>
    <row r="79" spans="1:6" x14ac:dyDescent="0.35">
      <c r="A79" s="229" t="s">
        <v>226</v>
      </c>
      <c r="B79" s="224" t="s">
        <v>227</v>
      </c>
      <c r="C79" s="210" t="e">
        <f>#REF!+#REF!+#REF!+#REF!+#REF!</f>
        <v>#REF!</v>
      </c>
      <c r="D79" s="211" t="e">
        <f>#REF!+#REF!+#REF!+#REF!+#REF!</f>
        <v>#REF!</v>
      </c>
      <c r="E79" s="212"/>
      <c r="F79" s="211"/>
    </row>
    <row r="80" spans="1:6" x14ac:dyDescent="0.35">
      <c r="A80" s="229" t="s">
        <v>228</v>
      </c>
      <c r="B80" s="224" t="s">
        <v>229</v>
      </c>
      <c r="C80" s="210" t="e">
        <f>#REF!+#REF!+#REF!+#REF!+#REF!</f>
        <v>#REF!</v>
      </c>
      <c r="D80" s="211" t="e">
        <f>#REF!+#REF!+#REF!+#REF!+#REF!</f>
        <v>#REF!</v>
      </c>
      <c r="E80" s="212"/>
      <c r="F80" s="211"/>
    </row>
    <row r="81" spans="1:6" x14ac:dyDescent="0.35">
      <c r="A81" s="229" t="s">
        <v>230</v>
      </c>
      <c r="B81" s="224" t="s">
        <v>231</v>
      </c>
      <c r="C81" s="210" t="e">
        <f>#REF!+#REF!+#REF!+#REF!+#REF!</f>
        <v>#REF!</v>
      </c>
      <c r="D81" s="211" t="e">
        <f>#REF!+#REF!+#REF!+#REF!+#REF!</f>
        <v>#REF!</v>
      </c>
      <c r="E81" s="212"/>
      <c r="F81" s="211"/>
    </row>
    <row r="82" spans="1:6" x14ac:dyDescent="0.35">
      <c r="A82" s="229" t="s">
        <v>232</v>
      </c>
      <c r="B82" s="224" t="s">
        <v>233</v>
      </c>
      <c r="C82" s="210" t="e">
        <f>#REF!+#REF!+#REF!+#REF!+#REF!</f>
        <v>#REF!</v>
      </c>
      <c r="D82" s="211" t="e">
        <f>#REF!+#REF!+#REF!+#REF!+#REF!</f>
        <v>#REF!</v>
      </c>
      <c r="E82" s="212"/>
      <c r="F82" s="211"/>
    </row>
    <row r="83" spans="1:6" x14ac:dyDescent="0.35">
      <c r="A83" s="229" t="s">
        <v>234</v>
      </c>
      <c r="B83" s="224" t="s">
        <v>235</v>
      </c>
      <c r="C83" s="210" t="e">
        <f>#REF!+#REF!+#REF!+#REF!+#REF!</f>
        <v>#REF!</v>
      </c>
      <c r="D83" s="211" t="e">
        <f>#REF!+#REF!+#REF!+#REF!+#REF!</f>
        <v>#REF!</v>
      </c>
      <c r="E83" s="212"/>
      <c r="F83" s="211"/>
    </row>
    <row r="84" spans="1:6" x14ac:dyDescent="0.35">
      <c r="A84" s="229" t="s">
        <v>236</v>
      </c>
      <c r="B84" s="224" t="s">
        <v>237</v>
      </c>
      <c r="C84" s="210" t="e">
        <f>#REF!+#REF!+#REF!+#REF!+#REF!</f>
        <v>#REF!</v>
      </c>
      <c r="D84" s="211" t="e">
        <f>#REF!+#REF!+#REF!+#REF!+#REF!</f>
        <v>#REF!</v>
      </c>
      <c r="E84" s="212"/>
      <c r="F84" s="211"/>
    </row>
    <row r="85" spans="1:6" x14ac:dyDescent="0.35">
      <c r="A85" s="229" t="s">
        <v>238</v>
      </c>
      <c r="B85" s="224" t="s">
        <v>239</v>
      </c>
      <c r="C85" s="210" t="e">
        <f>#REF!+#REF!+#REF!+#REF!+#REF!</f>
        <v>#REF!</v>
      </c>
      <c r="D85" s="211" t="e">
        <f>#REF!+#REF!+#REF!+#REF!+#REF!</f>
        <v>#REF!</v>
      </c>
      <c r="E85" s="212"/>
      <c r="F85" s="211"/>
    </row>
    <row r="86" spans="1:6" x14ac:dyDescent="0.35">
      <c r="A86" s="229" t="s">
        <v>240</v>
      </c>
      <c r="B86" s="224" t="s">
        <v>241</v>
      </c>
      <c r="C86" s="210" t="e">
        <f>#REF!+#REF!+#REF!+#REF!+#REF!</f>
        <v>#REF!</v>
      </c>
      <c r="D86" s="211" t="e">
        <f>#REF!+#REF!+#REF!+#REF!+#REF!</f>
        <v>#REF!</v>
      </c>
      <c r="E86" s="212"/>
      <c r="F86" s="211"/>
    </row>
    <row r="87" spans="1:6" x14ac:dyDescent="0.35">
      <c r="A87" s="229" t="s">
        <v>242</v>
      </c>
      <c r="B87" s="224" t="s">
        <v>243</v>
      </c>
      <c r="C87" s="210" t="e">
        <f>#REF!+#REF!+#REF!+#REF!+#REF!</f>
        <v>#REF!</v>
      </c>
      <c r="D87" s="211" t="e">
        <f>#REF!+#REF!+#REF!+#REF!+#REF!</f>
        <v>#REF!</v>
      </c>
      <c r="E87" s="212"/>
      <c r="F87" s="211"/>
    </row>
    <row r="88" spans="1:6" x14ac:dyDescent="0.35">
      <c r="A88" s="229" t="s">
        <v>244</v>
      </c>
      <c r="B88" s="224" t="s">
        <v>245</v>
      </c>
      <c r="C88" s="210" t="e">
        <f>#REF!+#REF!+#REF!+#REF!+#REF!</f>
        <v>#REF!</v>
      </c>
      <c r="D88" s="211" t="e">
        <f>#REF!+#REF!+#REF!+#REF!+#REF!</f>
        <v>#REF!</v>
      </c>
      <c r="E88" s="212"/>
      <c r="F88" s="211"/>
    </row>
    <row r="89" spans="1:6" x14ac:dyDescent="0.35">
      <c r="A89" s="229" t="s">
        <v>246</v>
      </c>
      <c r="B89" s="224" t="s">
        <v>247</v>
      </c>
      <c r="C89" s="210" t="e">
        <f>#REF!+#REF!+#REF!+#REF!+#REF!</f>
        <v>#REF!</v>
      </c>
      <c r="D89" s="211" t="e">
        <f>#REF!+#REF!+#REF!+#REF!+#REF!</f>
        <v>#REF!</v>
      </c>
      <c r="E89" s="212"/>
      <c r="F89" s="211"/>
    </row>
    <row r="90" spans="1:6" x14ac:dyDescent="0.35">
      <c r="A90" s="229" t="s">
        <v>248</v>
      </c>
      <c r="B90" s="224" t="s">
        <v>249</v>
      </c>
      <c r="C90" s="210" t="e">
        <f>#REF!+#REF!+#REF!+#REF!+#REF!</f>
        <v>#REF!</v>
      </c>
      <c r="D90" s="211" t="e">
        <f>#REF!+#REF!+#REF!+#REF!+#REF!</f>
        <v>#REF!</v>
      </c>
      <c r="E90" s="212"/>
      <c r="F90" s="211"/>
    </row>
    <row r="91" spans="1:6" x14ac:dyDescent="0.35">
      <c r="A91" s="229" t="s">
        <v>250</v>
      </c>
      <c r="B91" s="224" t="s">
        <v>251</v>
      </c>
      <c r="C91" s="210" t="e">
        <f>#REF!+#REF!+#REF!+#REF!+#REF!</f>
        <v>#REF!</v>
      </c>
      <c r="D91" s="211" t="e">
        <f>#REF!+#REF!+#REF!+#REF!+#REF!</f>
        <v>#REF!</v>
      </c>
      <c r="E91" s="212"/>
      <c r="F91" s="211"/>
    </row>
    <row r="92" spans="1:6" x14ac:dyDescent="0.35">
      <c r="A92" s="229" t="s">
        <v>252</v>
      </c>
      <c r="B92" s="224" t="s">
        <v>253</v>
      </c>
      <c r="C92" s="210" t="e">
        <f>#REF!+#REF!+#REF!+#REF!+#REF!</f>
        <v>#REF!</v>
      </c>
      <c r="D92" s="211" t="e">
        <f>#REF!+#REF!+#REF!+#REF!+#REF!</f>
        <v>#REF!</v>
      </c>
      <c r="E92" s="212"/>
      <c r="F92" s="211"/>
    </row>
    <row r="93" spans="1:6" x14ac:dyDescent="0.35">
      <c r="A93" s="229" t="s">
        <v>254</v>
      </c>
      <c r="B93" s="224" t="s">
        <v>255</v>
      </c>
      <c r="C93" s="210" t="e">
        <f>#REF!+#REF!+#REF!+#REF!+#REF!</f>
        <v>#REF!</v>
      </c>
      <c r="D93" s="211" t="e">
        <f>#REF!+#REF!+#REF!+#REF!+#REF!</f>
        <v>#REF!</v>
      </c>
      <c r="E93" s="212"/>
      <c r="F93" s="211"/>
    </row>
    <row r="94" spans="1:6" x14ac:dyDescent="0.35">
      <c r="A94" s="229" t="s">
        <v>256</v>
      </c>
      <c r="B94" s="224" t="s">
        <v>257</v>
      </c>
      <c r="C94" s="210" t="e">
        <f>#REF!+#REF!+#REF!+#REF!+#REF!</f>
        <v>#REF!</v>
      </c>
      <c r="D94" s="211" t="e">
        <f>#REF!+#REF!+#REF!+#REF!+#REF!</f>
        <v>#REF!</v>
      </c>
      <c r="E94" s="212"/>
      <c r="F94" s="211"/>
    </row>
    <row r="95" spans="1:6" x14ac:dyDescent="0.35">
      <c r="A95" s="229" t="s">
        <v>258</v>
      </c>
      <c r="B95" s="224" t="s">
        <v>259</v>
      </c>
      <c r="C95" s="210" t="e">
        <f>#REF!+#REF!+#REF!+#REF!+#REF!</f>
        <v>#REF!</v>
      </c>
      <c r="D95" s="211" t="e">
        <f>#REF!+#REF!+#REF!+#REF!+#REF!</f>
        <v>#REF!</v>
      </c>
      <c r="E95" s="212"/>
      <c r="F95" s="211"/>
    </row>
    <row r="96" spans="1:6" x14ac:dyDescent="0.35">
      <c r="A96" s="229" t="s">
        <v>260</v>
      </c>
      <c r="B96" s="224" t="s">
        <v>261</v>
      </c>
      <c r="C96" s="210" t="e">
        <f>#REF!+#REF!+#REF!+#REF!+#REF!</f>
        <v>#REF!</v>
      </c>
      <c r="D96" s="211" t="e">
        <f>#REF!+#REF!+#REF!+#REF!+#REF!</f>
        <v>#REF!</v>
      </c>
      <c r="E96" s="212"/>
      <c r="F96" s="211"/>
    </row>
    <row r="97" spans="1:6" x14ac:dyDescent="0.35">
      <c r="A97" s="229" t="s">
        <v>262</v>
      </c>
      <c r="B97" s="224" t="s">
        <v>263</v>
      </c>
      <c r="C97" s="210" t="e">
        <f>#REF!+#REF!+#REF!+#REF!+#REF!</f>
        <v>#REF!</v>
      </c>
      <c r="D97" s="211" t="e">
        <f>#REF!+#REF!+#REF!+#REF!+#REF!</f>
        <v>#REF!</v>
      </c>
      <c r="E97" s="212"/>
      <c r="F97" s="211"/>
    </row>
    <row r="98" spans="1:6" x14ac:dyDescent="0.35">
      <c r="A98" s="229" t="s">
        <v>264</v>
      </c>
      <c r="B98" s="224" t="s">
        <v>265</v>
      </c>
      <c r="C98" s="210" t="e">
        <f>#REF!+#REF!+#REF!+#REF!+#REF!</f>
        <v>#REF!</v>
      </c>
      <c r="D98" s="211" t="e">
        <f>#REF!+#REF!+#REF!+#REF!+#REF!</f>
        <v>#REF!</v>
      </c>
      <c r="E98" s="212"/>
      <c r="F98" s="211"/>
    </row>
    <row r="99" spans="1:6" x14ac:dyDescent="0.35">
      <c r="A99" s="229" t="s">
        <v>266</v>
      </c>
      <c r="B99" s="224" t="s">
        <v>267</v>
      </c>
      <c r="C99" s="210" t="e">
        <f>#REF!+#REF!+#REF!+#REF!+#REF!</f>
        <v>#REF!</v>
      </c>
      <c r="D99" s="211" t="e">
        <f>#REF!+#REF!+#REF!+#REF!+#REF!</f>
        <v>#REF!</v>
      </c>
      <c r="E99" s="212"/>
      <c r="F99" s="211"/>
    </row>
    <row r="100" spans="1:6" x14ac:dyDescent="0.35">
      <c r="A100" s="229" t="s">
        <v>268</v>
      </c>
      <c r="B100" s="224" t="s">
        <v>269</v>
      </c>
      <c r="C100" s="210" t="e">
        <f>#REF!+#REF!+#REF!+#REF!+#REF!</f>
        <v>#REF!</v>
      </c>
      <c r="D100" s="211" t="e">
        <f>#REF!+#REF!+#REF!+#REF!+#REF!</f>
        <v>#REF!</v>
      </c>
      <c r="E100" s="212"/>
      <c r="F100" s="211"/>
    </row>
    <row r="101" spans="1:6" x14ac:dyDescent="0.35">
      <c r="A101" s="229" t="s">
        <v>270</v>
      </c>
      <c r="B101" s="224" t="s">
        <v>271</v>
      </c>
      <c r="C101" s="210" t="e">
        <f>#REF!+#REF!+#REF!+#REF!+#REF!</f>
        <v>#REF!</v>
      </c>
      <c r="D101" s="211" t="e">
        <f>#REF!+#REF!+#REF!+#REF!+#REF!</f>
        <v>#REF!</v>
      </c>
      <c r="E101" s="212"/>
      <c r="F101" s="211"/>
    </row>
    <row r="102" spans="1:6" x14ac:dyDescent="0.35">
      <c r="A102" s="229" t="s">
        <v>272</v>
      </c>
      <c r="B102" s="224" t="s">
        <v>273</v>
      </c>
      <c r="C102" s="210" t="e">
        <f>#REF!+#REF!+#REF!+#REF!+#REF!</f>
        <v>#REF!</v>
      </c>
      <c r="D102" s="211" t="e">
        <f>#REF!+#REF!+#REF!+#REF!+#REF!</f>
        <v>#REF!</v>
      </c>
      <c r="E102" s="212"/>
      <c r="F102" s="211"/>
    </row>
    <row r="103" spans="1:6" x14ac:dyDescent="0.35">
      <c r="A103" s="229" t="s">
        <v>274</v>
      </c>
      <c r="B103" s="224" t="s">
        <v>275</v>
      </c>
      <c r="C103" s="210" t="e">
        <f>#REF!+#REF!+#REF!+#REF!+#REF!</f>
        <v>#REF!</v>
      </c>
      <c r="D103" s="211" t="e">
        <f>#REF!+#REF!+#REF!+#REF!+#REF!</f>
        <v>#REF!</v>
      </c>
      <c r="E103" s="212"/>
      <c r="F103" s="211"/>
    </row>
    <row r="104" spans="1:6" x14ac:dyDescent="0.35">
      <c r="A104" s="229" t="s">
        <v>276</v>
      </c>
      <c r="B104" s="224" t="s">
        <v>277</v>
      </c>
      <c r="C104" s="210" t="e">
        <f>#REF!+#REF!+#REF!+#REF!+#REF!</f>
        <v>#REF!</v>
      </c>
      <c r="D104" s="211" t="e">
        <f>#REF!+#REF!+#REF!+#REF!+#REF!</f>
        <v>#REF!</v>
      </c>
      <c r="E104" s="212"/>
      <c r="F104" s="211"/>
    </row>
    <row r="105" spans="1:6" x14ac:dyDescent="0.35">
      <c r="A105" s="229" t="s">
        <v>278</v>
      </c>
      <c r="B105" s="224" t="s">
        <v>279</v>
      </c>
      <c r="C105" s="210" t="e">
        <f>#REF!+#REF!+#REF!+#REF!+#REF!</f>
        <v>#REF!</v>
      </c>
      <c r="D105" s="211" t="e">
        <f>#REF!+#REF!+#REF!+#REF!+#REF!</f>
        <v>#REF!</v>
      </c>
      <c r="E105" s="212"/>
      <c r="F105" s="211"/>
    </row>
    <row r="106" spans="1:6" x14ac:dyDescent="0.35">
      <c r="A106" s="229" t="s">
        <v>280</v>
      </c>
      <c r="B106" s="224" t="s">
        <v>281</v>
      </c>
      <c r="C106" s="210" t="e">
        <f>#REF!+#REF!+#REF!+#REF!+#REF!</f>
        <v>#REF!</v>
      </c>
      <c r="D106" s="211" t="e">
        <f>#REF!+#REF!+#REF!+#REF!+#REF!</f>
        <v>#REF!</v>
      </c>
      <c r="E106" s="212"/>
      <c r="F106" s="211"/>
    </row>
    <row r="107" spans="1:6" x14ac:dyDescent="0.35">
      <c r="A107" s="229" t="s">
        <v>282</v>
      </c>
      <c r="B107" s="224" t="s">
        <v>283</v>
      </c>
      <c r="C107" s="210" t="e">
        <f>#REF!+#REF!+#REF!+#REF!+#REF!</f>
        <v>#REF!</v>
      </c>
      <c r="D107" s="211" t="e">
        <f>#REF!+#REF!+#REF!+#REF!+#REF!</f>
        <v>#REF!</v>
      </c>
      <c r="E107" s="212"/>
      <c r="F107" s="211"/>
    </row>
    <row r="108" spans="1:6" x14ac:dyDescent="0.35">
      <c r="A108" s="229" t="s">
        <v>284</v>
      </c>
      <c r="B108" s="224" t="s">
        <v>285</v>
      </c>
      <c r="C108" s="210" t="e">
        <f>#REF!+#REF!+#REF!+#REF!+#REF!</f>
        <v>#REF!</v>
      </c>
      <c r="D108" s="211" t="e">
        <f>#REF!+#REF!+#REF!+#REF!+#REF!</f>
        <v>#REF!</v>
      </c>
      <c r="E108" s="212"/>
      <c r="F108" s="211"/>
    </row>
    <row r="109" spans="1:6" x14ac:dyDescent="0.35">
      <c r="A109" s="229" t="s">
        <v>286</v>
      </c>
      <c r="B109" s="224" t="s">
        <v>287</v>
      </c>
      <c r="C109" s="210" t="e">
        <f>#REF!+#REF!+#REF!+#REF!+#REF!</f>
        <v>#REF!</v>
      </c>
      <c r="D109" s="211" t="e">
        <f>#REF!+#REF!+#REF!+#REF!+#REF!</f>
        <v>#REF!</v>
      </c>
      <c r="E109" s="212"/>
      <c r="F109" s="211"/>
    </row>
    <row r="110" spans="1:6" x14ac:dyDescent="0.35">
      <c r="A110" s="229" t="s">
        <v>288</v>
      </c>
      <c r="B110" s="224" t="s">
        <v>289</v>
      </c>
      <c r="C110" s="210" t="e">
        <f>#REF!+#REF!+#REF!+#REF!+#REF!</f>
        <v>#REF!</v>
      </c>
      <c r="D110" s="211" t="e">
        <f>#REF!+#REF!+#REF!+#REF!+#REF!</f>
        <v>#REF!</v>
      </c>
      <c r="E110" s="212"/>
      <c r="F110" s="211"/>
    </row>
    <row r="111" spans="1:6" x14ac:dyDescent="0.35">
      <c r="A111" s="229" t="s">
        <v>290</v>
      </c>
      <c r="B111" s="224" t="s">
        <v>291</v>
      </c>
      <c r="C111" s="210" t="e">
        <f>#REF!+#REF!+#REF!+#REF!+#REF!</f>
        <v>#REF!</v>
      </c>
      <c r="D111" s="211" t="e">
        <f>#REF!+#REF!+#REF!+#REF!+#REF!</f>
        <v>#REF!</v>
      </c>
      <c r="E111" s="212"/>
      <c r="F111" s="211"/>
    </row>
    <row r="112" spans="1:6" x14ac:dyDescent="0.35">
      <c r="A112" s="229" t="s">
        <v>292</v>
      </c>
      <c r="B112" s="224" t="s">
        <v>293</v>
      </c>
      <c r="C112" s="210" t="e">
        <f>#REF!+#REF!+#REF!+#REF!+#REF!</f>
        <v>#REF!</v>
      </c>
      <c r="D112" s="211" t="e">
        <f>#REF!+#REF!+#REF!+#REF!+#REF!</f>
        <v>#REF!</v>
      </c>
      <c r="E112" s="212"/>
      <c r="F112" s="211"/>
    </row>
    <row r="113" spans="1:6" x14ac:dyDescent="0.35">
      <c r="A113" s="229" t="s">
        <v>294</v>
      </c>
      <c r="B113" s="224" t="s">
        <v>295</v>
      </c>
      <c r="C113" s="210" t="e">
        <f>#REF!+#REF!+#REF!+#REF!+#REF!</f>
        <v>#REF!</v>
      </c>
      <c r="D113" s="211" t="e">
        <f>#REF!+#REF!+#REF!+#REF!+#REF!</f>
        <v>#REF!</v>
      </c>
      <c r="E113" s="212"/>
      <c r="F113" s="211"/>
    </row>
    <row r="114" spans="1:6" x14ac:dyDescent="0.35">
      <c r="A114" s="229" t="s">
        <v>296</v>
      </c>
      <c r="B114" s="224" t="s">
        <v>297</v>
      </c>
      <c r="C114" s="210" t="e">
        <f>#REF!+#REF!+#REF!+#REF!+#REF!</f>
        <v>#REF!</v>
      </c>
      <c r="D114" s="211" t="e">
        <f>#REF!+#REF!+#REF!+#REF!+#REF!</f>
        <v>#REF!</v>
      </c>
      <c r="E114" s="212"/>
      <c r="F114" s="211"/>
    </row>
    <row r="115" spans="1:6" x14ac:dyDescent="0.35">
      <c r="A115" s="229" t="s">
        <v>298</v>
      </c>
      <c r="B115" s="224" t="s">
        <v>299</v>
      </c>
      <c r="C115" s="210" t="e">
        <f>#REF!+#REF!+#REF!+#REF!+#REF!</f>
        <v>#REF!</v>
      </c>
      <c r="D115" s="211" t="e">
        <f>#REF!+#REF!+#REF!+#REF!+#REF!</f>
        <v>#REF!</v>
      </c>
      <c r="E115" s="212"/>
      <c r="F115" s="211"/>
    </row>
    <row r="116" spans="1:6" x14ac:dyDescent="0.35">
      <c r="A116" s="229" t="s">
        <v>300</v>
      </c>
      <c r="B116" s="224" t="s">
        <v>301</v>
      </c>
      <c r="C116" s="210" t="e">
        <f>#REF!+#REF!+#REF!+#REF!+#REF!</f>
        <v>#REF!</v>
      </c>
      <c r="D116" s="211" t="e">
        <f>#REF!+#REF!+#REF!+#REF!+#REF!</f>
        <v>#REF!</v>
      </c>
      <c r="E116" s="212"/>
      <c r="F116" s="211"/>
    </row>
    <row r="117" spans="1:6" x14ac:dyDescent="0.35">
      <c r="A117" s="229" t="s">
        <v>302</v>
      </c>
      <c r="B117" s="224" t="s">
        <v>303</v>
      </c>
      <c r="C117" s="210" t="e">
        <f>#REF!+#REF!+#REF!+#REF!+#REF!</f>
        <v>#REF!</v>
      </c>
      <c r="D117" s="211" t="e">
        <f>#REF!+#REF!+#REF!+#REF!+#REF!</f>
        <v>#REF!</v>
      </c>
      <c r="E117" s="212"/>
      <c r="F117" s="211"/>
    </row>
    <row r="118" spans="1:6" x14ac:dyDescent="0.35">
      <c r="A118" s="229" t="s">
        <v>304</v>
      </c>
      <c r="B118" s="224" t="s">
        <v>305</v>
      </c>
      <c r="C118" s="210" t="e">
        <f>#REF!+#REF!+#REF!+#REF!+#REF!</f>
        <v>#REF!</v>
      </c>
      <c r="D118" s="211" t="e">
        <f>#REF!+#REF!+#REF!+#REF!+#REF!</f>
        <v>#REF!</v>
      </c>
      <c r="E118" s="212"/>
      <c r="F118" s="211"/>
    </row>
    <row r="119" spans="1:6" x14ac:dyDescent="0.35">
      <c r="A119" s="229" t="s">
        <v>306</v>
      </c>
      <c r="B119" s="224" t="s">
        <v>307</v>
      </c>
      <c r="C119" s="210" t="e">
        <f>#REF!+#REF!+#REF!+#REF!+#REF!</f>
        <v>#REF!</v>
      </c>
      <c r="D119" s="211" t="e">
        <f>#REF!+#REF!+#REF!+#REF!+#REF!</f>
        <v>#REF!</v>
      </c>
      <c r="E119" s="212"/>
      <c r="F119" s="211"/>
    </row>
    <row r="120" spans="1:6" x14ac:dyDescent="0.35">
      <c r="A120" s="229" t="s">
        <v>308</v>
      </c>
      <c r="B120" s="230" t="s">
        <v>309</v>
      </c>
      <c r="C120" s="210" t="e">
        <f>#REF!+#REF!+#REF!+#REF!+#REF!</f>
        <v>#REF!</v>
      </c>
      <c r="D120" s="211" t="e">
        <f>#REF!+#REF!+#REF!+#REF!+#REF!</f>
        <v>#REF!</v>
      </c>
      <c r="E120" s="212"/>
      <c r="F120" s="211"/>
    </row>
    <row r="121" spans="1:6" x14ac:dyDescent="0.35">
      <c r="A121" s="229" t="s">
        <v>310</v>
      </c>
      <c r="B121" s="230" t="s">
        <v>311</v>
      </c>
      <c r="C121" s="210" t="e">
        <f>#REF!+#REF!+#REF!+#REF!+#REF!</f>
        <v>#REF!</v>
      </c>
      <c r="D121" s="211" t="e">
        <f>#REF!+#REF!+#REF!+#REF!+#REF!</f>
        <v>#REF!</v>
      </c>
      <c r="E121" s="212"/>
      <c r="F121" s="211"/>
    </row>
    <row r="122" spans="1:6" x14ac:dyDescent="0.35">
      <c r="A122" s="229" t="s">
        <v>312</v>
      </c>
      <c r="B122" s="224" t="s">
        <v>313</v>
      </c>
      <c r="C122" s="210" t="e">
        <f>#REF!+#REF!+#REF!+#REF!+#REF!</f>
        <v>#REF!</v>
      </c>
      <c r="D122" s="211" t="e">
        <f>#REF!+#REF!+#REF!+#REF!+#REF!</f>
        <v>#REF!</v>
      </c>
      <c r="E122" s="212"/>
      <c r="F122" s="211"/>
    </row>
    <row r="123" spans="1:6" x14ac:dyDescent="0.35">
      <c r="A123" s="229" t="s">
        <v>314</v>
      </c>
      <c r="B123" s="224" t="s">
        <v>315</v>
      </c>
      <c r="C123" s="210" t="e">
        <f>#REF!+#REF!+#REF!+#REF!+#REF!</f>
        <v>#REF!</v>
      </c>
      <c r="D123" s="211" t="e">
        <f>#REF!+#REF!+#REF!+#REF!+#REF!</f>
        <v>#REF!</v>
      </c>
      <c r="E123" s="212"/>
      <c r="F123" s="211"/>
    </row>
    <row r="124" spans="1:6" x14ac:dyDescent="0.35">
      <c r="A124" s="226" t="s">
        <v>316</v>
      </c>
      <c r="B124" s="224" t="s">
        <v>317</v>
      </c>
      <c r="C124" s="210" t="e">
        <f>#REF!+#REF!+#REF!+#REF!+#REF!</f>
        <v>#REF!</v>
      </c>
      <c r="D124" s="211" t="e">
        <f>#REF!+#REF!+#REF!+#REF!+#REF!</f>
        <v>#REF!</v>
      </c>
      <c r="E124" s="212"/>
      <c r="F124" s="211"/>
    </row>
    <row r="125" spans="1:6" x14ac:dyDescent="0.35">
      <c r="A125" s="226" t="s">
        <v>318</v>
      </c>
      <c r="B125" s="224" t="s">
        <v>319</v>
      </c>
      <c r="C125" s="210" t="e">
        <f>#REF!+#REF!+#REF!+#REF!+#REF!</f>
        <v>#REF!</v>
      </c>
      <c r="D125" s="211" t="e">
        <f>#REF!+#REF!+#REF!+#REF!+#REF!</f>
        <v>#REF!</v>
      </c>
      <c r="E125" s="212"/>
      <c r="F125" s="211"/>
    </row>
    <row r="126" spans="1:6" x14ac:dyDescent="0.35">
      <c r="A126" s="226" t="s">
        <v>320</v>
      </c>
      <c r="B126" s="224" t="s">
        <v>321</v>
      </c>
      <c r="C126" s="210" t="e">
        <f>#REF!+#REF!+#REF!+#REF!+#REF!</f>
        <v>#REF!</v>
      </c>
      <c r="D126" s="211" t="e">
        <f>#REF!+#REF!+#REF!+#REF!+#REF!</f>
        <v>#REF!</v>
      </c>
      <c r="E126" s="212"/>
      <c r="F126" s="211"/>
    </row>
    <row r="127" spans="1:6" x14ac:dyDescent="0.35">
      <c r="A127" s="226" t="s">
        <v>322</v>
      </c>
      <c r="B127" s="220" t="s">
        <v>323</v>
      </c>
      <c r="C127" s="210" t="e">
        <f>#REF!+#REF!+#REF!+#REF!+#REF!</f>
        <v>#REF!</v>
      </c>
      <c r="D127" s="211" t="e">
        <f>#REF!+#REF!+#REF!+#REF!+#REF!</f>
        <v>#REF!</v>
      </c>
      <c r="E127" s="212"/>
      <c r="F127" s="211"/>
    </row>
    <row r="128" spans="1:6" x14ac:dyDescent="0.35">
      <c r="A128" s="219" t="s">
        <v>324</v>
      </c>
      <c r="B128" s="220" t="s">
        <v>325</v>
      </c>
      <c r="C128" s="210" t="e">
        <f>#REF!+#REF!+#REF!+#REF!+#REF!</f>
        <v>#REF!</v>
      </c>
      <c r="D128" s="211" t="e">
        <f>#REF!+#REF!+#REF!+#REF!+#REF!</f>
        <v>#REF!</v>
      </c>
      <c r="E128" s="212"/>
      <c r="F128" s="211"/>
    </row>
    <row r="129" spans="1:6" x14ac:dyDescent="0.35">
      <c r="A129" s="226" t="s">
        <v>326</v>
      </c>
      <c r="B129" s="224" t="s">
        <v>327</v>
      </c>
      <c r="C129" s="210" t="e">
        <f>#REF!+#REF!+#REF!+#REF!+#REF!</f>
        <v>#REF!</v>
      </c>
      <c r="D129" s="211" t="e">
        <f>#REF!+#REF!+#REF!+#REF!+#REF!</f>
        <v>#REF!</v>
      </c>
      <c r="E129" s="212"/>
      <c r="F129" s="211"/>
    </row>
    <row r="130" spans="1:6" x14ac:dyDescent="0.35">
      <c r="A130" s="226" t="s">
        <v>328</v>
      </c>
      <c r="B130" s="220" t="s">
        <v>329</v>
      </c>
      <c r="C130" s="210" t="e">
        <f>#REF!+#REF!+#REF!+#REF!+#REF!</f>
        <v>#REF!</v>
      </c>
      <c r="D130" s="211" t="e">
        <f>#REF!+#REF!+#REF!+#REF!+#REF!</f>
        <v>#REF!</v>
      </c>
      <c r="E130" s="212"/>
      <c r="F130" s="211"/>
    </row>
    <row r="131" spans="1:6" x14ac:dyDescent="0.35">
      <c r="A131" s="226" t="s">
        <v>330</v>
      </c>
      <c r="B131" s="220" t="s">
        <v>331</v>
      </c>
      <c r="C131" s="210" t="e">
        <f>#REF!+#REF!+#REF!+#REF!+#REF!</f>
        <v>#REF!</v>
      </c>
      <c r="D131" s="211" t="e">
        <f>#REF!+#REF!+#REF!+#REF!+#REF!</f>
        <v>#REF!</v>
      </c>
      <c r="E131" s="212"/>
      <c r="F131" s="211"/>
    </row>
    <row r="132" spans="1:6" x14ac:dyDescent="0.35">
      <c r="A132" s="226" t="s">
        <v>332</v>
      </c>
      <c r="B132" s="220" t="s">
        <v>333</v>
      </c>
      <c r="C132" s="210" t="e">
        <f>#REF!+#REF!+#REF!+#REF!+#REF!</f>
        <v>#REF!</v>
      </c>
      <c r="D132" s="211" t="e">
        <f>#REF!+#REF!+#REF!+#REF!+#REF!</f>
        <v>#REF!</v>
      </c>
      <c r="E132" s="212"/>
      <c r="F132" s="211"/>
    </row>
    <row r="133" spans="1:6" x14ac:dyDescent="0.35">
      <c r="A133" s="226" t="s">
        <v>334</v>
      </c>
      <c r="B133" s="220" t="s">
        <v>335</v>
      </c>
      <c r="C133" s="210" t="e">
        <f>#REF!+#REF!+#REF!+#REF!+#REF!</f>
        <v>#REF!</v>
      </c>
      <c r="D133" s="211" t="e">
        <f>#REF!+#REF!+#REF!+#REF!+#REF!</f>
        <v>#REF!</v>
      </c>
      <c r="E133" s="212"/>
      <c r="F133" s="211"/>
    </row>
    <row r="134" spans="1:6" x14ac:dyDescent="0.35">
      <c r="A134" s="226" t="s">
        <v>336</v>
      </c>
      <c r="B134" s="220" t="s">
        <v>337</v>
      </c>
      <c r="C134" s="210" t="e">
        <f>#REF!+#REF!+#REF!+#REF!+#REF!</f>
        <v>#REF!</v>
      </c>
      <c r="D134" s="211" t="e">
        <f>#REF!+#REF!+#REF!+#REF!+#REF!</f>
        <v>#REF!</v>
      </c>
      <c r="E134" s="212"/>
      <c r="F134" s="211"/>
    </row>
    <row r="135" spans="1:6" x14ac:dyDescent="0.35">
      <c r="A135" s="226" t="s">
        <v>338</v>
      </c>
      <c r="B135" s="230" t="s">
        <v>339</v>
      </c>
      <c r="C135" s="210" t="e">
        <f>#REF!+#REF!+#REF!+#REF!+#REF!</f>
        <v>#REF!</v>
      </c>
      <c r="D135" s="211" t="e">
        <f>#REF!+#REF!+#REF!+#REF!+#REF!</f>
        <v>#REF!</v>
      </c>
      <c r="E135" s="212"/>
      <c r="F135" s="211"/>
    </row>
    <row r="136" spans="1:6" x14ac:dyDescent="0.35">
      <c r="A136" s="226" t="s">
        <v>340</v>
      </c>
      <c r="B136" s="232" t="s">
        <v>341</v>
      </c>
      <c r="C136" s="210" t="e">
        <f>#REF!+#REF!+#REF!+#REF!+#REF!</f>
        <v>#REF!</v>
      </c>
      <c r="D136" s="211" t="e">
        <f>#REF!+#REF!+#REF!+#REF!+#REF!</f>
        <v>#REF!</v>
      </c>
      <c r="E136" s="212"/>
      <c r="F136" s="211"/>
    </row>
    <row r="137" spans="1:6" x14ac:dyDescent="0.35">
      <c r="A137" s="226" t="s">
        <v>342</v>
      </c>
      <c r="B137" s="224" t="s">
        <v>343</v>
      </c>
      <c r="C137" s="210" t="e">
        <f>#REF!+#REF!+#REF!+#REF!+#REF!</f>
        <v>#REF!</v>
      </c>
      <c r="D137" s="211" t="e">
        <f>#REF!+#REF!+#REF!+#REF!+#REF!</f>
        <v>#REF!</v>
      </c>
      <c r="E137" s="212"/>
      <c r="F137" s="211"/>
    </row>
    <row r="138" spans="1:6" x14ac:dyDescent="0.35">
      <c r="A138" s="226" t="s">
        <v>344</v>
      </c>
      <c r="B138" s="224" t="s">
        <v>345</v>
      </c>
      <c r="C138" s="210" t="e">
        <f>#REF!+#REF!+#REF!+#REF!+#REF!</f>
        <v>#REF!</v>
      </c>
      <c r="D138" s="211" t="e">
        <f>#REF!+#REF!+#REF!+#REF!+#REF!</f>
        <v>#REF!</v>
      </c>
      <c r="E138" s="212"/>
      <c r="F138" s="211"/>
    </row>
    <row r="139" spans="1:6" x14ac:dyDescent="0.35">
      <c r="A139" s="226" t="s">
        <v>346</v>
      </c>
      <c r="B139" s="224" t="s">
        <v>347</v>
      </c>
      <c r="C139" s="210" t="e">
        <f>#REF!+#REF!+#REF!+#REF!+#REF!</f>
        <v>#REF!</v>
      </c>
      <c r="D139" s="211" t="e">
        <f>#REF!+#REF!+#REF!+#REF!+#REF!</f>
        <v>#REF!</v>
      </c>
      <c r="E139" s="212"/>
      <c r="F139" s="211"/>
    </row>
    <row r="140" spans="1:6" x14ac:dyDescent="0.35">
      <c r="A140" s="226" t="s">
        <v>348</v>
      </c>
      <c r="B140" s="224" t="s">
        <v>349</v>
      </c>
      <c r="C140" s="210" t="e">
        <f>#REF!+#REF!+#REF!+#REF!+#REF!</f>
        <v>#REF!</v>
      </c>
      <c r="D140" s="211" t="e">
        <f>#REF!+#REF!+#REF!+#REF!+#REF!</f>
        <v>#REF!</v>
      </c>
      <c r="E140" s="212"/>
      <c r="F140" s="211"/>
    </row>
    <row r="141" spans="1:6" x14ac:dyDescent="0.35">
      <c r="A141" s="226" t="s">
        <v>350</v>
      </c>
      <c r="B141" s="224" t="s">
        <v>351</v>
      </c>
      <c r="C141" s="210" t="e">
        <f>#REF!+#REF!+#REF!+#REF!+#REF!</f>
        <v>#REF!</v>
      </c>
      <c r="D141" s="211" t="e">
        <f>#REF!+#REF!+#REF!+#REF!+#REF!</f>
        <v>#REF!</v>
      </c>
      <c r="E141" s="212"/>
      <c r="F141" s="211"/>
    </row>
    <row r="142" spans="1:6" x14ac:dyDescent="0.35">
      <c r="A142" s="226" t="s">
        <v>352</v>
      </c>
      <c r="B142" s="232" t="s">
        <v>353</v>
      </c>
      <c r="C142" s="210" t="e">
        <f>#REF!+#REF!+#REF!+#REF!+#REF!</f>
        <v>#REF!</v>
      </c>
      <c r="D142" s="211" t="e">
        <f>#REF!+#REF!+#REF!+#REF!+#REF!</f>
        <v>#REF!</v>
      </c>
      <c r="E142" s="212"/>
      <c r="F142" s="211"/>
    </row>
    <row r="143" spans="1:6" x14ac:dyDescent="0.35">
      <c r="A143" s="226" t="s">
        <v>354</v>
      </c>
      <c r="B143" s="232" t="s">
        <v>355</v>
      </c>
      <c r="C143" s="210" t="e">
        <f>#REF!+#REF!+#REF!+#REF!+#REF!</f>
        <v>#REF!</v>
      </c>
      <c r="D143" s="211" t="e">
        <f>#REF!+#REF!+#REF!+#REF!+#REF!</f>
        <v>#REF!</v>
      </c>
      <c r="E143" s="212"/>
      <c r="F143" s="211"/>
    </row>
    <row r="144" spans="1:6" x14ac:dyDescent="0.35">
      <c r="A144" s="226" t="s">
        <v>356</v>
      </c>
      <c r="B144" s="232" t="s">
        <v>357</v>
      </c>
      <c r="C144" s="210" t="e">
        <f>#REF!+#REF!+#REF!+#REF!+#REF!</f>
        <v>#REF!</v>
      </c>
      <c r="D144" s="211" t="e">
        <f>#REF!+#REF!+#REF!+#REF!+#REF!</f>
        <v>#REF!</v>
      </c>
      <c r="E144" s="212"/>
      <c r="F144" s="211"/>
    </row>
    <row r="145" spans="1:6" x14ac:dyDescent="0.35">
      <c r="A145" s="226" t="s">
        <v>358</v>
      </c>
      <c r="B145" s="224" t="s">
        <v>359</v>
      </c>
      <c r="C145" s="210" t="e">
        <f>#REF!+#REF!+#REF!+#REF!+#REF!</f>
        <v>#REF!</v>
      </c>
      <c r="D145" s="211" t="e">
        <f>#REF!+#REF!+#REF!+#REF!+#REF!</f>
        <v>#REF!</v>
      </c>
      <c r="E145" s="212"/>
      <c r="F145" s="211"/>
    </row>
    <row r="146" spans="1:6" x14ac:dyDescent="0.35">
      <c r="A146" s="226" t="s">
        <v>360</v>
      </c>
      <c r="B146" s="224" t="s">
        <v>361</v>
      </c>
      <c r="C146" s="210" t="e">
        <f>#REF!+#REF!+#REF!+#REF!+#REF!</f>
        <v>#REF!</v>
      </c>
      <c r="D146" s="211" t="e">
        <f>#REF!+#REF!+#REF!+#REF!+#REF!</f>
        <v>#REF!</v>
      </c>
      <c r="E146" s="212"/>
      <c r="F146" s="211"/>
    </row>
    <row r="147" spans="1:6" x14ac:dyDescent="0.35">
      <c r="A147" s="226" t="s">
        <v>362</v>
      </c>
      <c r="B147" s="224" t="s">
        <v>363</v>
      </c>
      <c r="C147" s="210" t="e">
        <f>#REF!+#REF!+#REF!+#REF!+#REF!</f>
        <v>#REF!</v>
      </c>
      <c r="D147" s="211" t="e">
        <f>#REF!+#REF!+#REF!+#REF!+#REF!</f>
        <v>#REF!</v>
      </c>
      <c r="E147" s="212"/>
      <c r="F147" s="211"/>
    </row>
    <row r="148" spans="1:6" x14ac:dyDescent="0.35">
      <c r="A148" s="226" t="s">
        <v>364</v>
      </c>
      <c r="B148" s="224" t="s">
        <v>365</v>
      </c>
      <c r="C148" s="210" t="e">
        <f>#REF!+#REF!+#REF!+#REF!+#REF!</f>
        <v>#REF!</v>
      </c>
      <c r="D148" s="211" t="e">
        <f>#REF!+#REF!+#REF!+#REF!+#REF!</f>
        <v>#REF!</v>
      </c>
      <c r="E148" s="212"/>
      <c r="F148" s="211"/>
    </row>
    <row r="149" spans="1:6" x14ac:dyDescent="0.35">
      <c r="A149" s="226" t="s">
        <v>366</v>
      </c>
      <c r="B149" s="224" t="s">
        <v>367</v>
      </c>
      <c r="C149" s="210" t="e">
        <f>#REF!+#REF!+#REF!+#REF!+#REF!</f>
        <v>#REF!</v>
      </c>
      <c r="D149" s="211" t="e">
        <f>#REF!+#REF!+#REF!+#REF!+#REF!</f>
        <v>#REF!</v>
      </c>
      <c r="E149" s="212"/>
      <c r="F149" s="211"/>
    </row>
    <row r="150" spans="1:6" x14ac:dyDescent="0.35">
      <c r="A150" s="226" t="s">
        <v>368</v>
      </c>
      <c r="B150" s="224" t="s">
        <v>369</v>
      </c>
      <c r="C150" s="210" t="e">
        <f>#REF!+#REF!+#REF!+#REF!+#REF!</f>
        <v>#REF!</v>
      </c>
      <c r="D150" s="211" t="e">
        <f>#REF!+#REF!+#REF!+#REF!+#REF!</f>
        <v>#REF!</v>
      </c>
      <c r="E150" s="212"/>
      <c r="F150" s="211"/>
    </row>
    <row r="151" spans="1:6" x14ac:dyDescent="0.35">
      <c r="A151" s="226" t="s">
        <v>370</v>
      </c>
      <c r="B151" s="224" t="s">
        <v>371</v>
      </c>
      <c r="C151" s="210" t="e">
        <f>#REF!+#REF!+#REF!+#REF!+#REF!</f>
        <v>#REF!</v>
      </c>
      <c r="D151" s="211" t="e">
        <f>#REF!+#REF!+#REF!+#REF!+#REF!</f>
        <v>#REF!</v>
      </c>
      <c r="E151" s="212"/>
      <c r="F151" s="211"/>
    </row>
    <row r="152" spans="1:6" x14ac:dyDescent="0.35">
      <c r="A152" s="226" t="s">
        <v>372</v>
      </c>
      <c r="B152" s="224" t="s">
        <v>373</v>
      </c>
      <c r="C152" s="210" t="e">
        <f>#REF!+#REF!+#REF!+#REF!+#REF!</f>
        <v>#REF!</v>
      </c>
      <c r="D152" s="211" t="e">
        <f>#REF!+#REF!+#REF!+#REF!+#REF!</f>
        <v>#REF!</v>
      </c>
      <c r="E152" s="212"/>
      <c r="F152" s="211"/>
    </row>
    <row r="153" spans="1:6" x14ac:dyDescent="0.35">
      <c r="A153" s="226" t="s">
        <v>374</v>
      </c>
      <c r="B153" s="224" t="s">
        <v>375</v>
      </c>
      <c r="C153" s="210" t="e">
        <f>#REF!+#REF!+#REF!+#REF!+#REF!</f>
        <v>#REF!</v>
      </c>
      <c r="D153" s="211" t="e">
        <f>#REF!+#REF!+#REF!+#REF!+#REF!</f>
        <v>#REF!</v>
      </c>
      <c r="E153" s="212"/>
      <c r="F153" s="211"/>
    </row>
    <row r="154" spans="1:6" x14ac:dyDescent="0.35">
      <c r="A154" s="226" t="s">
        <v>610</v>
      </c>
      <c r="B154" s="224" t="s">
        <v>376</v>
      </c>
      <c r="C154" s="210" t="e">
        <f>#REF!+#REF!+#REF!+#REF!+#REF!</f>
        <v>#REF!</v>
      </c>
      <c r="D154" s="211" t="e">
        <f>#REF!+#REF!+#REF!+#REF!+#REF!</f>
        <v>#REF!</v>
      </c>
      <c r="E154" s="212"/>
      <c r="F154" s="211"/>
    </row>
    <row r="155" spans="1:6" x14ac:dyDescent="0.35">
      <c r="A155" s="226" t="s">
        <v>611</v>
      </c>
      <c r="B155" s="224" t="s">
        <v>377</v>
      </c>
      <c r="C155" s="210" t="e">
        <f>#REF!+#REF!+#REF!+#REF!+#REF!</f>
        <v>#REF!</v>
      </c>
      <c r="D155" s="211" t="e">
        <f>#REF!+#REF!+#REF!+#REF!+#REF!</f>
        <v>#REF!</v>
      </c>
      <c r="E155" s="212"/>
      <c r="F155" s="211"/>
    </row>
    <row r="156" spans="1:6" x14ac:dyDescent="0.35">
      <c r="A156" s="233" t="s">
        <v>378</v>
      </c>
      <c r="B156" s="224" t="s">
        <v>379</v>
      </c>
      <c r="C156" s="210" t="e">
        <f>#REF!+#REF!+#REF!+#REF!+#REF!</f>
        <v>#REF!</v>
      </c>
      <c r="D156" s="211" t="e">
        <f>#REF!+#REF!+#REF!+#REF!+#REF!</f>
        <v>#REF!</v>
      </c>
      <c r="E156" s="212"/>
      <c r="F156" s="211"/>
    </row>
    <row r="157" spans="1:6" x14ac:dyDescent="0.35">
      <c r="A157" s="226" t="s">
        <v>380</v>
      </c>
      <c r="B157" s="224" t="s">
        <v>381</v>
      </c>
      <c r="C157" s="210" t="e">
        <f>#REF!+#REF!+#REF!+#REF!+#REF!</f>
        <v>#REF!</v>
      </c>
      <c r="D157" s="211" t="e">
        <f>#REF!+#REF!+#REF!+#REF!+#REF!</f>
        <v>#REF!</v>
      </c>
      <c r="E157" s="212"/>
      <c r="F157" s="211"/>
    </row>
    <row r="158" spans="1:6" x14ac:dyDescent="0.35">
      <c r="A158" s="226" t="s">
        <v>382</v>
      </c>
      <c r="B158" s="224" t="s">
        <v>383</v>
      </c>
      <c r="C158" s="210" t="e">
        <f>#REF!+#REF!+#REF!+#REF!+#REF!</f>
        <v>#REF!</v>
      </c>
      <c r="D158" s="211" t="e">
        <f>#REF!+#REF!+#REF!+#REF!+#REF!</f>
        <v>#REF!</v>
      </c>
      <c r="E158" s="212"/>
      <c r="F158" s="211"/>
    </row>
    <row r="159" spans="1:6" x14ac:dyDescent="0.35">
      <c r="A159" s="226" t="s">
        <v>384</v>
      </c>
      <c r="B159" s="224" t="s">
        <v>385</v>
      </c>
      <c r="C159" s="210" t="e">
        <f>#REF!+#REF!+#REF!+#REF!+#REF!</f>
        <v>#REF!</v>
      </c>
      <c r="D159" s="211" t="e">
        <f>#REF!+#REF!+#REF!+#REF!+#REF!</f>
        <v>#REF!</v>
      </c>
      <c r="E159" s="212"/>
      <c r="F159" s="211"/>
    </row>
    <row r="160" spans="1:6" x14ac:dyDescent="0.35">
      <c r="A160" s="226" t="s">
        <v>386</v>
      </c>
      <c r="B160" s="224" t="s">
        <v>387</v>
      </c>
      <c r="C160" s="210" t="e">
        <f>#REF!+#REF!+#REF!+#REF!+#REF!</f>
        <v>#REF!</v>
      </c>
      <c r="D160" s="211" t="e">
        <f>#REF!+#REF!+#REF!+#REF!+#REF!</f>
        <v>#REF!</v>
      </c>
      <c r="E160" s="212"/>
      <c r="F160" s="211"/>
    </row>
    <row r="161" spans="1:6" x14ac:dyDescent="0.35">
      <c r="A161" s="226" t="s">
        <v>388</v>
      </c>
      <c r="B161" s="224" t="s">
        <v>389</v>
      </c>
      <c r="C161" s="210" t="e">
        <f>#REF!+#REF!+#REF!+#REF!+#REF!</f>
        <v>#REF!</v>
      </c>
      <c r="D161" s="211" t="e">
        <f>#REF!+#REF!+#REF!+#REF!+#REF!</f>
        <v>#REF!</v>
      </c>
      <c r="E161" s="212"/>
      <c r="F161" s="211"/>
    </row>
    <row r="162" spans="1:6" x14ac:dyDescent="0.35">
      <c r="A162" s="226" t="s">
        <v>390</v>
      </c>
      <c r="B162" s="224" t="s">
        <v>391</v>
      </c>
      <c r="C162" s="210" t="e">
        <f>#REF!+#REF!+#REF!+#REF!+#REF!</f>
        <v>#REF!</v>
      </c>
      <c r="D162" s="211" t="e">
        <f>#REF!+#REF!+#REF!+#REF!+#REF!</f>
        <v>#REF!</v>
      </c>
      <c r="E162" s="212"/>
      <c r="F162" s="211"/>
    </row>
    <row r="163" spans="1:6" x14ac:dyDescent="0.35">
      <c r="A163" s="226" t="s">
        <v>392</v>
      </c>
      <c r="B163" s="224" t="s">
        <v>393</v>
      </c>
      <c r="C163" s="210" t="e">
        <f>#REF!+#REF!+#REF!+#REF!+#REF!</f>
        <v>#REF!</v>
      </c>
      <c r="D163" s="211" t="e">
        <f>#REF!+#REF!+#REF!+#REF!+#REF!</f>
        <v>#REF!</v>
      </c>
      <c r="E163" s="212"/>
      <c r="F163" s="211"/>
    </row>
    <row r="164" spans="1:6" x14ac:dyDescent="0.35">
      <c r="A164" s="226" t="s">
        <v>394</v>
      </c>
      <c r="B164" s="224" t="s">
        <v>395</v>
      </c>
      <c r="C164" s="210" t="e">
        <f>#REF!+#REF!+#REF!+#REF!+#REF!</f>
        <v>#REF!</v>
      </c>
      <c r="D164" s="211" t="e">
        <f>#REF!+#REF!+#REF!+#REF!+#REF!</f>
        <v>#REF!</v>
      </c>
      <c r="E164" s="212"/>
      <c r="F164" s="211"/>
    </row>
    <row r="165" spans="1:6" x14ac:dyDescent="0.35">
      <c r="A165" s="226" t="s">
        <v>396</v>
      </c>
      <c r="B165" s="224" t="s">
        <v>397</v>
      </c>
      <c r="C165" s="210" t="e">
        <f>#REF!+#REF!+#REF!+#REF!+#REF!</f>
        <v>#REF!</v>
      </c>
      <c r="D165" s="211" t="e">
        <f>#REF!+#REF!+#REF!+#REF!+#REF!</f>
        <v>#REF!</v>
      </c>
      <c r="E165" s="212"/>
      <c r="F165" s="211"/>
    </row>
    <row r="166" spans="1:6" x14ac:dyDescent="0.35">
      <c r="A166" s="226" t="s">
        <v>398</v>
      </c>
      <c r="B166" s="224" t="s">
        <v>399</v>
      </c>
      <c r="C166" s="210" t="e">
        <f>#REF!+#REF!+#REF!+#REF!+#REF!</f>
        <v>#REF!</v>
      </c>
      <c r="D166" s="211" t="e">
        <f>#REF!+#REF!+#REF!+#REF!+#REF!</f>
        <v>#REF!</v>
      </c>
      <c r="E166" s="212"/>
      <c r="F166" s="211"/>
    </row>
    <row r="167" spans="1:6" x14ac:dyDescent="0.35">
      <c r="A167" s="226" t="s">
        <v>400</v>
      </c>
      <c r="B167" s="224" t="s">
        <v>401</v>
      </c>
      <c r="C167" s="210" t="e">
        <f>#REF!+#REF!+#REF!+#REF!+#REF!</f>
        <v>#REF!</v>
      </c>
      <c r="D167" s="211" t="e">
        <f>#REF!+#REF!+#REF!+#REF!+#REF!</f>
        <v>#REF!</v>
      </c>
      <c r="E167" s="212"/>
      <c r="F167" s="211"/>
    </row>
    <row r="168" spans="1:6" x14ac:dyDescent="0.35">
      <c r="A168" s="226" t="s">
        <v>402</v>
      </c>
      <c r="B168" s="224" t="s">
        <v>403</v>
      </c>
      <c r="C168" s="210" t="e">
        <f>#REF!+#REF!+#REF!+#REF!+#REF!</f>
        <v>#REF!</v>
      </c>
      <c r="D168" s="211" t="e">
        <f>#REF!+#REF!+#REF!+#REF!+#REF!</f>
        <v>#REF!</v>
      </c>
      <c r="E168" s="212"/>
      <c r="F168" s="211"/>
    </row>
    <row r="169" spans="1:6" x14ac:dyDescent="0.35">
      <c r="A169" s="226" t="s">
        <v>404</v>
      </c>
      <c r="B169" s="224" t="s">
        <v>405</v>
      </c>
      <c r="C169" s="210" t="e">
        <f>#REF!+#REF!+#REF!+#REF!+#REF!</f>
        <v>#REF!</v>
      </c>
      <c r="D169" s="211" t="e">
        <f>#REF!+#REF!+#REF!+#REF!+#REF!</f>
        <v>#REF!</v>
      </c>
      <c r="E169" s="212"/>
      <c r="F169" s="211"/>
    </row>
    <row r="170" spans="1:6" x14ac:dyDescent="0.35">
      <c r="A170" s="226" t="s">
        <v>406</v>
      </c>
      <c r="B170" s="224" t="s">
        <v>407</v>
      </c>
      <c r="C170" s="210" t="e">
        <f>#REF!+#REF!+#REF!+#REF!+#REF!</f>
        <v>#REF!</v>
      </c>
      <c r="D170" s="211" t="e">
        <f>#REF!+#REF!+#REF!+#REF!+#REF!</f>
        <v>#REF!</v>
      </c>
      <c r="E170" s="212"/>
      <c r="F170" s="211"/>
    </row>
    <row r="171" spans="1:6" x14ac:dyDescent="0.35">
      <c r="A171" s="226" t="s">
        <v>408</v>
      </c>
      <c r="B171" s="224" t="s">
        <v>409</v>
      </c>
      <c r="C171" s="210" t="e">
        <f>#REF!+#REF!+#REF!+#REF!+#REF!</f>
        <v>#REF!</v>
      </c>
      <c r="D171" s="211" t="e">
        <f>#REF!+#REF!+#REF!+#REF!+#REF!</f>
        <v>#REF!</v>
      </c>
      <c r="E171" s="212"/>
      <c r="F171" s="211"/>
    </row>
    <row r="172" spans="1:6" x14ac:dyDescent="0.35">
      <c r="A172" s="226" t="s">
        <v>410</v>
      </c>
      <c r="B172" s="224" t="s">
        <v>411</v>
      </c>
      <c r="C172" s="210" t="e">
        <f>#REF!+#REF!+#REF!+#REF!+#REF!</f>
        <v>#REF!</v>
      </c>
      <c r="D172" s="211" t="e">
        <f>#REF!+#REF!+#REF!+#REF!+#REF!</f>
        <v>#REF!</v>
      </c>
      <c r="E172" s="212"/>
      <c r="F172" s="211"/>
    </row>
    <row r="173" spans="1:6" x14ac:dyDescent="0.35">
      <c r="A173" s="226" t="s">
        <v>412</v>
      </c>
      <c r="B173" s="224" t="s">
        <v>413</v>
      </c>
      <c r="C173" s="210" t="e">
        <f>#REF!+#REF!+#REF!+#REF!+#REF!</f>
        <v>#REF!</v>
      </c>
      <c r="D173" s="211" t="e">
        <f>#REF!+#REF!+#REF!+#REF!+#REF!</f>
        <v>#REF!</v>
      </c>
      <c r="E173" s="212"/>
      <c r="F173" s="211"/>
    </row>
    <row r="174" spans="1:6" x14ac:dyDescent="0.35">
      <c r="A174" s="226" t="s">
        <v>414</v>
      </c>
      <c r="B174" s="224" t="s">
        <v>415</v>
      </c>
      <c r="C174" s="210" t="e">
        <f>#REF!+#REF!+#REF!+#REF!+#REF!</f>
        <v>#REF!</v>
      </c>
      <c r="D174" s="211" t="e">
        <f>#REF!+#REF!+#REF!+#REF!+#REF!</f>
        <v>#REF!</v>
      </c>
      <c r="E174" s="212"/>
      <c r="F174" s="211"/>
    </row>
    <row r="175" spans="1:6" x14ac:dyDescent="0.35">
      <c r="A175" s="226" t="s">
        <v>416</v>
      </c>
      <c r="B175" s="224" t="s">
        <v>417</v>
      </c>
      <c r="C175" s="210" t="e">
        <f>#REF!+#REF!+#REF!+#REF!+#REF!</f>
        <v>#REF!</v>
      </c>
      <c r="D175" s="211" t="e">
        <f>#REF!+#REF!+#REF!+#REF!+#REF!</f>
        <v>#REF!</v>
      </c>
      <c r="E175" s="212"/>
      <c r="F175" s="211"/>
    </row>
    <row r="176" spans="1:6" x14ac:dyDescent="0.35">
      <c r="A176" s="226" t="s">
        <v>418</v>
      </c>
      <c r="B176" s="224" t="s">
        <v>419</v>
      </c>
      <c r="C176" s="210" t="e">
        <f>#REF!+#REF!+#REF!+#REF!+#REF!</f>
        <v>#REF!</v>
      </c>
      <c r="D176" s="211" t="e">
        <f>#REF!+#REF!+#REF!+#REF!+#REF!</f>
        <v>#REF!</v>
      </c>
      <c r="E176" s="212"/>
      <c r="F176" s="211"/>
    </row>
    <row r="177" spans="1:6" x14ac:dyDescent="0.35">
      <c r="A177" s="226" t="s">
        <v>420</v>
      </c>
      <c r="B177" s="224" t="s">
        <v>421</v>
      </c>
      <c r="C177" s="210" t="e">
        <f>#REF!+#REF!+#REF!+#REF!+#REF!</f>
        <v>#REF!</v>
      </c>
      <c r="D177" s="211" t="e">
        <f>#REF!+#REF!+#REF!+#REF!+#REF!</f>
        <v>#REF!</v>
      </c>
      <c r="E177" s="212"/>
      <c r="F177" s="211"/>
    </row>
    <row r="178" spans="1:6" x14ac:dyDescent="0.35">
      <c r="A178" s="226" t="s">
        <v>422</v>
      </c>
      <c r="B178" s="224" t="s">
        <v>423</v>
      </c>
      <c r="C178" s="210" t="e">
        <f>#REF!+#REF!+#REF!+#REF!+#REF!</f>
        <v>#REF!</v>
      </c>
      <c r="D178" s="211" t="e">
        <f>#REF!+#REF!+#REF!+#REF!+#REF!</f>
        <v>#REF!</v>
      </c>
      <c r="E178" s="212"/>
      <c r="F178" s="211"/>
    </row>
    <row r="179" spans="1:6" x14ac:dyDescent="0.35">
      <c r="A179" s="226" t="s">
        <v>424</v>
      </c>
      <c r="B179" s="224" t="s">
        <v>425</v>
      </c>
      <c r="C179" s="210" t="e">
        <f>#REF!+#REF!+#REF!+#REF!+#REF!</f>
        <v>#REF!</v>
      </c>
      <c r="D179" s="211" t="e">
        <f>#REF!+#REF!+#REF!+#REF!+#REF!</f>
        <v>#REF!</v>
      </c>
      <c r="E179" s="212"/>
      <c r="F179" s="211"/>
    </row>
    <row r="180" spans="1:6" x14ac:dyDescent="0.35">
      <c r="A180" s="226" t="s">
        <v>426</v>
      </c>
      <c r="B180" s="224" t="s">
        <v>427</v>
      </c>
      <c r="C180" s="210" t="e">
        <f>#REF!+#REF!+#REF!+#REF!+#REF!</f>
        <v>#REF!</v>
      </c>
      <c r="D180" s="211" t="e">
        <f>#REF!+#REF!+#REF!+#REF!+#REF!</f>
        <v>#REF!</v>
      </c>
      <c r="E180" s="212"/>
      <c r="F180" s="211"/>
    </row>
    <row r="181" spans="1:6" x14ac:dyDescent="0.35">
      <c r="A181" s="226" t="s">
        <v>428</v>
      </c>
      <c r="B181" s="224" t="s">
        <v>429</v>
      </c>
      <c r="C181" s="210" t="e">
        <f>#REF!+#REF!+#REF!+#REF!+#REF!</f>
        <v>#REF!</v>
      </c>
      <c r="D181" s="211" t="e">
        <f>#REF!+#REF!+#REF!+#REF!+#REF!</f>
        <v>#REF!</v>
      </c>
      <c r="E181" s="212"/>
      <c r="F181" s="211"/>
    </row>
    <row r="182" spans="1:6" x14ac:dyDescent="0.35">
      <c r="A182" s="226" t="s">
        <v>430</v>
      </c>
      <c r="B182" s="224" t="s">
        <v>431</v>
      </c>
      <c r="C182" s="210" t="e">
        <f>#REF!+#REF!+#REF!+#REF!+#REF!</f>
        <v>#REF!</v>
      </c>
      <c r="D182" s="211" t="e">
        <f>#REF!+#REF!+#REF!+#REF!+#REF!</f>
        <v>#REF!</v>
      </c>
      <c r="E182" s="212"/>
      <c r="F182" s="211"/>
    </row>
    <row r="183" spans="1:6" x14ac:dyDescent="0.35">
      <c r="A183" s="226" t="s">
        <v>432</v>
      </c>
      <c r="B183" s="224" t="s">
        <v>433</v>
      </c>
      <c r="C183" s="210" t="e">
        <f>#REF!+#REF!+#REF!+#REF!+#REF!</f>
        <v>#REF!</v>
      </c>
      <c r="D183" s="211" t="e">
        <f>#REF!+#REF!+#REF!+#REF!+#REF!</f>
        <v>#REF!</v>
      </c>
      <c r="E183" s="212"/>
      <c r="F183" s="211"/>
    </row>
    <row r="184" spans="1:6" x14ac:dyDescent="0.35">
      <c r="A184" s="226" t="s">
        <v>434</v>
      </c>
      <c r="B184" s="224" t="s">
        <v>435</v>
      </c>
      <c r="C184" s="210" t="e">
        <f>#REF!+#REF!+#REF!+#REF!+#REF!</f>
        <v>#REF!</v>
      </c>
      <c r="D184" s="211" t="e">
        <f>#REF!+#REF!+#REF!+#REF!+#REF!</f>
        <v>#REF!</v>
      </c>
      <c r="E184" s="212"/>
      <c r="F184" s="211"/>
    </row>
    <row r="185" spans="1:6" x14ac:dyDescent="0.35">
      <c r="A185" s="226" t="s">
        <v>436</v>
      </c>
      <c r="B185" s="224" t="s">
        <v>437</v>
      </c>
      <c r="C185" s="210" t="e">
        <f>#REF!+#REF!+#REF!+#REF!+#REF!</f>
        <v>#REF!</v>
      </c>
      <c r="D185" s="211" t="e">
        <f>#REF!+#REF!+#REF!+#REF!+#REF!</f>
        <v>#REF!</v>
      </c>
      <c r="E185" s="212"/>
      <c r="F185" s="211"/>
    </row>
    <row r="186" spans="1:6" x14ac:dyDescent="0.35">
      <c r="A186" s="226" t="s">
        <v>438</v>
      </c>
      <c r="B186" s="224" t="s">
        <v>439</v>
      </c>
      <c r="C186" s="210" t="e">
        <f>#REF!+#REF!+#REF!+#REF!+#REF!</f>
        <v>#REF!</v>
      </c>
      <c r="D186" s="211" t="e">
        <f>#REF!+#REF!+#REF!+#REF!+#REF!</f>
        <v>#REF!</v>
      </c>
      <c r="E186" s="212"/>
      <c r="F186" s="211"/>
    </row>
    <row r="187" spans="1:6" x14ac:dyDescent="0.35">
      <c r="A187" s="226" t="s">
        <v>440</v>
      </c>
      <c r="B187" s="232" t="s">
        <v>441</v>
      </c>
      <c r="C187" s="210" t="e">
        <f>#REF!+#REF!+#REF!+#REF!+#REF!</f>
        <v>#REF!</v>
      </c>
      <c r="D187" s="211" t="e">
        <f>#REF!+#REF!+#REF!+#REF!+#REF!</f>
        <v>#REF!</v>
      </c>
      <c r="E187" s="212"/>
      <c r="F187" s="211"/>
    </row>
    <row r="188" spans="1:6" x14ac:dyDescent="0.35">
      <c r="A188" s="226" t="s">
        <v>442</v>
      </c>
      <c r="B188" s="232" t="s">
        <v>443</v>
      </c>
      <c r="C188" s="210" t="e">
        <f>#REF!+#REF!+#REF!+#REF!+#REF!</f>
        <v>#REF!</v>
      </c>
      <c r="D188" s="211" t="e">
        <f>#REF!+#REF!+#REF!+#REF!+#REF!</f>
        <v>#REF!</v>
      </c>
      <c r="E188" s="212"/>
      <c r="F188" s="211"/>
    </row>
    <row r="189" spans="1:6" x14ac:dyDescent="0.35">
      <c r="A189" s="226" t="s">
        <v>444</v>
      </c>
      <c r="B189" s="232" t="s">
        <v>445</v>
      </c>
      <c r="C189" s="210" t="e">
        <f>#REF!+#REF!+#REF!+#REF!+#REF!</f>
        <v>#REF!</v>
      </c>
      <c r="D189" s="211" t="e">
        <f>#REF!+#REF!+#REF!+#REF!+#REF!</f>
        <v>#REF!</v>
      </c>
      <c r="E189" s="212"/>
      <c r="F189" s="211"/>
    </row>
    <row r="190" spans="1:6" x14ac:dyDescent="0.35">
      <c r="A190" s="226" t="s">
        <v>446</v>
      </c>
      <c r="B190" s="232" t="s">
        <v>447</v>
      </c>
      <c r="C190" s="210" t="e">
        <f>#REF!+#REF!+#REF!+#REF!+#REF!</f>
        <v>#REF!</v>
      </c>
      <c r="D190" s="211" t="e">
        <f>#REF!+#REF!+#REF!+#REF!+#REF!</f>
        <v>#REF!</v>
      </c>
      <c r="E190" s="212"/>
      <c r="F190" s="211"/>
    </row>
    <row r="191" spans="1:6" x14ac:dyDescent="0.35">
      <c r="A191" s="226" t="s">
        <v>448</v>
      </c>
      <c r="B191" s="232" t="s">
        <v>449</v>
      </c>
      <c r="C191" s="210" t="e">
        <f>#REF!+#REF!+#REF!+#REF!+#REF!</f>
        <v>#REF!</v>
      </c>
      <c r="D191" s="211" t="e">
        <f>#REF!+#REF!+#REF!+#REF!+#REF!</f>
        <v>#REF!</v>
      </c>
      <c r="E191" s="212"/>
      <c r="F191" s="211"/>
    </row>
    <row r="192" spans="1:6" x14ac:dyDescent="0.35">
      <c r="A192" s="226" t="s">
        <v>450</v>
      </c>
      <c r="B192" s="230" t="s">
        <v>451</v>
      </c>
      <c r="C192" s="210" t="e">
        <f>#REF!+#REF!+#REF!+#REF!+#REF!</f>
        <v>#REF!</v>
      </c>
      <c r="D192" s="211" t="e">
        <f>#REF!+#REF!+#REF!+#REF!+#REF!</f>
        <v>#REF!</v>
      </c>
      <c r="E192" s="212"/>
      <c r="F192" s="211"/>
    </row>
    <row r="193" spans="1:6" x14ac:dyDescent="0.35">
      <c r="A193" s="226" t="s">
        <v>452</v>
      </c>
      <c r="B193" s="220" t="s">
        <v>453</v>
      </c>
      <c r="C193" s="210" t="e">
        <f>#REF!+#REF!+#REF!+#REF!+#REF!</f>
        <v>#REF!</v>
      </c>
      <c r="D193" s="211" t="e">
        <f>#REF!+#REF!+#REF!+#REF!+#REF!</f>
        <v>#REF!</v>
      </c>
      <c r="E193" s="212"/>
      <c r="F193" s="211"/>
    </row>
    <row r="194" spans="1:6" x14ac:dyDescent="0.35">
      <c r="A194" s="226" t="s">
        <v>454</v>
      </c>
      <c r="B194" s="220" t="s">
        <v>455</v>
      </c>
      <c r="C194" s="210" t="e">
        <f>#REF!+#REF!+#REF!+#REF!+#REF!</f>
        <v>#REF!</v>
      </c>
      <c r="D194" s="211" t="e">
        <f>#REF!+#REF!+#REF!+#REF!+#REF!</f>
        <v>#REF!</v>
      </c>
      <c r="E194" s="212"/>
      <c r="F194" s="211"/>
    </row>
    <row r="195" spans="1:6" x14ac:dyDescent="0.35">
      <c r="A195" s="226" t="s">
        <v>456</v>
      </c>
      <c r="B195" s="220" t="s">
        <v>457</v>
      </c>
      <c r="C195" s="210" t="e">
        <f>#REF!+#REF!+#REF!+#REF!+#REF!</f>
        <v>#REF!</v>
      </c>
      <c r="D195" s="211" t="e">
        <f>#REF!+#REF!+#REF!+#REF!+#REF!</f>
        <v>#REF!</v>
      </c>
      <c r="E195" s="212"/>
      <c r="F195" s="211"/>
    </row>
    <row r="196" spans="1:6" x14ac:dyDescent="0.35">
      <c r="A196" s="226" t="s">
        <v>458</v>
      </c>
      <c r="B196" s="220" t="s">
        <v>459</v>
      </c>
      <c r="C196" s="210" t="e">
        <f>#REF!+#REF!+#REF!+#REF!+#REF!</f>
        <v>#REF!</v>
      </c>
      <c r="D196" s="211" t="e">
        <f>#REF!+#REF!+#REF!+#REF!+#REF!</f>
        <v>#REF!</v>
      </c>
      <c r="E196" s="212"/>
      <c r="F196" s="211"/>
    </row>
    <row r="197" spans="1:6" x14ac:dyDescent="0.35">
      <c r="A197" s="226" t="s">
        <v>460</v>
      </c>
      <c r="B197" s="220" t="s">
        <v>461</v>
      </c>
      <c r="C197" s="210" t="e">
        <f>#REF!+#REF!+#REF!+#REF!+#REF!</f>
        <v>#REF!</v>
      </c>
      <c r="D197" s="211" t="e">
        <f>#REF!+#REF!+#REF!+#REF!+#REF!</f>
        <v>#REF!</v>
      </c>
      <c r="E197" s="212"/>
      <c r="F197" s="211"/>
    </row>
    <row r="198" spans="1:6" x14ac:dyDescent="0.35">
      <c r="A198" s="226" t="s">
        <v>462</v>
      </c>
      <c r="B198" s="220" t="s">
        <v>463</v>
      </c>
      <c r="C198" s="210" t="e">
        <f>#REF!+#REF!+#REF!+#REF!+#REF!</f>
        <v>#REF!</v>
      </c>
      <c r="D198" s="211" t="e">
        <f>#REF!+#REF!+#REF!+#REF!+#REF!</f>
        <v>#REF!</v>
      </c>
      <c r="E198" s="212"/>
      <c r="F198" s="211"/>
    </row>
    <row r="199" spans="1:6" x14ac:dyDescent="0.35">
      <c r="A199" s="226" t="s">
        <v>464</v>
      </c>
      <c r="B199" s="220" t="s">
        <v>465</v>
      </c>
      <c r="C199" s="210" t="e">
        <f>#REF!+#REF!+#REF!+#REF!+#REF!</f>
        <v>#REF!</v>
      </c>
      <c r="D199" s="211" t="e">
        <f>#REF!+#REF!+#REF!+#REF!+#REF!</f>
        <v>#REF!</v>
      </c>
      <c r="E199" s="212"/>
      <c r="F199" s="211"/>
    </row>
    <row r="200" spans="1:6" x14ac:dyDescent="0.35">
      <c r="A200" s="226" t="s">
        <v>466</v>
      </c>
      <c r="B200" s="220" t="s">
        <v>467</v>
      </c>
      <c r="C200" s="210" t="e">
        <f>#REF!+#REF!+#REF!+#REF!+#REF!</f>
        <v>#REF!</v>
      </c>
      <c r="D200" s="211" t="e">
        <f>#REF!+#REF!+#REF!+#REF!+#REF!</f>
        <v>#REF!</v>
      </c>
      <c r="E200" s="212"/>
      <c r="F200" s="211"/>
    </row>
    <row r="201" spans="1:6" x14ac:dyDescent="0.35">
      <c r="A201" s="226" t="s">
        <v>468</v>
      </c>
      <c r="B201" s="220" t="s">
        <v>469</v>
      </c>
      <c r="C201" s="210" t="e">
        <f>#REF!+#REF!+#REF!+#REF!+#REF!</f>
        <v>#REF!</v>
      </c>
      <c r="D201" s="211" t="e">
        <f>#REF!+#REF!+#REF!+#REF!+#REF!</f>
        <v>#REF!</v>
      </c>
      <c r="E201" s="212"/>
      <c r="F201" s="211"/>
    </row>
    <row r="202" spans="1:6" x14ac:dyDescent="0.35">
      <c r="A202" s="226" t="s">
        <v>470</v>
      </c>
      <c r="B202" s="220" t="s">
        <v>471</v>
      </c>
      <c r="C202" s="210" t="e">
        <f>#REF!+#REF!+#REF!+#REF!+#REF!</f>
        <v>#REF!</v>
      </c>
      <c r="D202" s="211" t="e">
        <f>#REF!+#REF!+#REF!+#REF!+#REF!</f>
        <v>#REF!</v>
      </c>
      <c r="E202" s="212"/>
      <c r="F202" s="211"/>
    </row>
    <row r="203" spans="1:6" x14ac:dyDescent="0.35">
      <c r="A203" s="226" t="s">
        <v>472</v>
      </c>
      <c r="B203" s="220" t="s">
        <v>473</v>
      </c>
      <c r="C203" s="210" t="e">
        <f>#REF!+#REF!+#REF!+#REF!+#REF!</f>
        <v>#REF!</v>
      </c>
      <c r="D203" s="211" t="e">
        <f>#REF!+#REF!+#REF!+#REF!+#REF!</f>
        <v>#REF!</v>
      </c>
      <c r="E203" s="212"/>
      <c r="F203" s="211"/>
    </row>
    <row r="204" spans="1:6" x14ac:dyDescent="0.35">
      <c r="A204" s="226" t="s">
        <v>474</v>
      </c>
      <c r="B204" s="220" t="s">
        <v>475</v>
      </c>
      <c r="C204" s="210" t="e">
        <f>#REF!+#REF!+#REF!+#REF!+#REF!</f>
        <v>#REF!</v>
      </c>
      <c r="D204" s="211" t="e">
        <f>#REF!+#REF!+#REF!+#REF!+#REF!</f>
        <v>#REF!</v>
      </c>
      <c r="E204" s="212"/>
      <c r="F204" s="211"/>
    </row>
    <row r="205" spans="1:6" x14ac:dyDescent="0.35">
      <c r="A205" s="226" t="s">
        <v>476</v>
      </c>
      <c r="B205" s="220" t="s">
        <v>477</v>
      </c>
      <c r="C205" s="210" t="e">
        <f>#REF!+#REF!+#REF!+#REF!+#REF!</f>
        <v>#REF!</v>
      </c>
      <c r="D205" s="211" t="e">
        <f>#REF!+#REF!+#REF!+#REF!+#REF!</f>
        <v>#REF!</v>
      </c>
      <c r="E205" s="212"/>
      <c r="F205" s="211"/>
    </row>
    <row r="206" spans="1:6" x14ac:dyDescent="0.35">
      <c r="A206" s="226" t="s">
        <v>478</v>
      </c>
      <c r="B206" s="220" t="s">
        <v>479</v>
      </c>
      <c r="C206" s="210" t="e">
        <f>#REF!+#REF!+#REF!+#REF!+#REF!</f>
        <v>#REF!</v>
      </c>
      <c r="D206" s="211" t="e">
        <f>#REF!+#REF!+#REF!+#REF!+#REF!</f>
        <v>#REF!</v>
      </c>
      <c r="E206" s="212"/>
      <c r="F206" s="211"/>
    </row>
    <row r="207" spans="1:6" x14ac:dyDescent="0.35">
      <c r="A207" s="226" t="s">
        <v>480</v>
      </c>
      <c r="B207" s="220" t="s">
        <v>481</v>
      </c>
      <c r="C207" s="210" t="e">
        <f>#REF!+#REF!+#REF!+#REF!+#REF!</f>
        <v>#REF!</v>
      </c>
      <c r="D207" s="211" t="e">
        <f>#REF!+#REF!+#REF!+#REF!+#REF!</f>
        <v>#REF!</v>
      </c>
      <c r="E207" s="212"/>
      <c r="F207" s="211"/>
    </row>
    <row r="208" spans="1:6" x14ac:dyDescent="0.35">
      <c r="A208" s="226" t="s">
        <v>482</v>
      </c>
      <c r="B208" s="220" t="s">
        <v>483</v>
      </c>
      <c r="C208" s="210" t="e">
        <f>#REF!+#REF!+#REF!+#REF!+#REF!</f>
        <v>#REF!</v>
      </c>
      <c r="D208" s="211" t="e">
        <f>#REF!+#REF!+#REF!+#REF!+#REF!</f>
        <v>#REF!</v>
      </c>
      <c r="E208" s="212"/>
      <c r="F208" s="211"/>
    </row>
    <row r="209" spans="1:6" x14ac:dyDescent="0.35">
      <c r="A209" s="219" t="s">
        <v>484</v>
      </c>
      <c r="B209" s="220" t="s">
        <v>485</v>
      </c>
      <c r="C209" s="210" t="e">
        <f>#REF!+#REF!+#REF!+#REF!+#REF!</f>
        <v>#REF!</v>
      </c>
      <c r="D209" s="211" t="e">
        <f>#REF!+#REF!+#REF!+#REF!+#REF!</f>
        <v>#REF!</v>
      </c>
      <c r="E209" s="212"/>
      <c r="F209" s="211"/>
    </row>
    <row r="210" spans="1:6" x14ac:dyDescent="0.35">
      <c r="A210" s="226" t="s">
        <v>486</v>
      </c>
      <c r="B210" s="220" t="s">
        <v>487</v>
      </c>
      <c r="C210" s="210" t="e">
        <f>#REF!+#REF!+#REF!+#REF!+#REF!</f>
        <v>#REF!</v>
      </c>
      <c r="D210" s="211" t="e">
        <f>#REF!+#REF!+#REF!+#REF!+#REF!</f>
        <v>#REF!</v>
      </c>
      <c r="E210" s="212"/>
      <c r="F210" s="211"/>
    </row>
    <row r="211" spans="1:6" x14ac:dyDescent="0.35">
      <c r="A211" s="226" t="s">
        <v>488</v>
      </c>
      <c r="B211" s="220" t="s">
        <v>489</v>
      </c>
      <c r="C211" s="210" t="e">
        <f>#REF!+#REF!+#REF!+#REF!+#REF!</f>
        <v>#REF!</v>
      </c>
      <c r="D211" s="211" t="e">
        <f>#REF!+#REF!+#REF!+#REF!+#REF!</f>
        <v>#REF!</v>
      </c>
      <c r="E211" s="212"/>
      <c r="F211" s="211"/>
    </row>
    <row r="212" spans="1:6" x14ac:dyDescent="0.35">
      <c r="A212" s="219" t="s">
        <v>490</v>
      </c>
      <c r="B212" s="220" t="s">
        <v>491</v>
      </c>
      <c r="C212" s="210" t="e">
        <f>#REF!+#REF!+#REF!+#REF!+#REF!</f>
        <v>#REF!</v>
      </c>
      <c r="D212" s="211" t="e">
        <f>#REF!+#REF!+#REF!+#REF!+#REF!</f>
        <v>#REF!</v>
      </c>
      <c r="E212" s="212"/>
      <c r="F212" s="211"/>
    </row>
    <row r="213" spans="1:6" x14ac:dyDescent="0.35">
      <c r="A213" s="219" t="s">
        <v>492</v>
      </c>
      <c r="B213" s="220" t="s">
        <v>493</v>
      </c>
      <c r="C213" s="210" t="e">
        <f>#REF!+#REF!+#REF!+#REF!+#REF!</f>
        <v>#REF!</v>
      </c>
      <c r="D213" s="211" t="e">
        <f>#REF!+#REF!+#REF!+#REF!+#REF!</f>
        <v>#REF!</v>
      </c>
      <c r="E213" s="212"/>
      <c r="F213" s="211"/>
    </row>
    <row r="214" spans="1:6" x14ac:dyDescent="0.35">
      <c r="A214" s="226" t="s">
        <v>494</v>
      </c>
      <c r="B214" s="220" t="s">
        <v>495</v>
      </c>
      <c r="C214" s="210" t="e">
        <f>#REF!+#REF!+#REF!+#REF!+#REF!</f>
        <v>#REF!</v>
      </c>
      <c r="D214" s="211" t="e">
        <f>#REF!+#REF!+#REF!+#REF!+#REF!</f>
        <v>#REF!</v>
      </c>
      <c r="E214" s="212"/>
      <c r="F214" s="211"/>
    </row>
    <row r="215" spans="1:6" x14ac:dyDescent="0.35">
      <c r="A215" s="226" t="s">
        <v>496</v>
      </c>
      <c r="B215" s="220" t="s">
        <v>497</v>
      </c>
      <c r="C215" s="210" t="e">
        <f>#REF!+#REF!+#REF!+#REF!+#REF!</f>
        <v>#REF!</v>
      </c>
      <c r="D215" s="211" t="e">
        <f>#REF!+#REF!+#REF!+#REF!+#REF!</f>
        <v>#REF!</v>
      </c>
      <c r="E215" s="212"/>
      <c r="F215" s="211"/>
    </row>
    <row r="216" spans="1:6" x14ac:dyDescent="0.35">
      <c r="A216" s="226" t="s">
        <v>498</v>
      </c>
      <c r="B216" s="220" t="s">
        <v>499</v>
      </c>
      <c r="C216" s="210" t="e">
        <f>#REF!+#REF!+#REF!+#REF!+#REF!</f>
        <v>#REF!</v>
      </c>
      <c r="D216" s="211" t="e">
        <f>#REF!+#REF!+#REF!+#REF!+#REF!</f>
        <v>#REF!</v>
      </c>
      <c r="E216" s="212"/>
      <c r="F216" s="211"/>
    </row>
    <row r="217" spans="1:6" x14ac:dyDescent="0.35">
      <c r="A217" s="226" t="s">
        <v>500</v>
      </c>
      <c r="B217" s="220" t="s">
        <v>501</v>
      </c>
      <c r="C217" s="210" t="e">
        <f>#REF!+#REF!+#REF!+#REF!+#REF!</f>
        <v>#REF!</v>
      </c>
      <c r="D217" s="211" t="e">
        <f>#REF!+#REF!+#REF!+#REF!+#REF!</f>
        <v>#REF!</v>
      </c>
      <c r="E217" s="212"/>
      <c r="F217" s="211"/>
    </row>
    <row r="218" spans="1:6" x14ac:dyDescent="0.35">
      <c r="A218" s="226" t="s">
        <v>502</v>
      </c>
      <c r="B218" s="234" t="s">
        <v>503</v>
      </c>
      <c r="C218" s="210" t="e">
        <f>#REF!+#REF!+#REF!+#REF!+#REF!</f>
        <v>#REF!</v>
      </c>
      <c r="D218" s="211" t="e">
        <f>#REF!+#REF!+#REF!+#REF!+#REF!</f>
        <v>#REF!</v>
      </c>
      <c r="E218" s="212"/>
      <c r="F218" s="211"/>
    </row>
    <row r="219" spans="1:6" x14ac:dyDescent="0.35">
      <c r="A219" s="226" t="s">
        <v>504</v>
      </c>
      <c r="B219" s="234" t="s">
        <v>503</v>
      </c>
      <c r="C219" s="210" t="e">
        <f>#REF!+#REF!+#REF!+#REF!+#REF!</f>
        <v>#REF!</v>
      </c>
      <c r="D219" s="211" t="e">
        <f>#REF!+#REF!+#REF!+#REF!+#REF!</f>
        <v>#REF!</v>
      </c>
      <c r="E219" s="212"/>
      <c r="F219" s="211"/>
    </row>
    <row r="220" spans="1:6" x14ac:dyDescent="0.35">
      <c r="A220" s="226" t="s">
        <v>612</v>
      </c>
      <c r="B220" s="234" t="s">
        <v>503</v>
      </c>
      <c r="C220" s="210" t="e">
        <f>#REF!+#REF!+#REF!+#REF!+#REF!</f>
        <v>#REF!</v>
      </c>
      <c r="D220" s="211" t="e">
        <f>#REF!+#REF!+#REF!+#REF!+#REF!</f>
        <v>#REF!</v>
      </c>
      <c r="E220" s="212"/>
      <c r="F220" s="211"/>
    </row>
    <row r="221" spans="1:6" x14ac:dyDescent="0.35">
      <c r="A221" s="226" t="s">
        <v>505</v>
      </c>
      <c r="B221" s="234" t="s">
        <v>506</v>
      </c>
      <c r="C221" s="210" t="e">
        <f>#REF!+#REF!+#REF!+#REF!+#REF!</f>
        <v>#REF!</v>
      </c>
      <c r="D221" s="211" t="e">
        <f>#REF!+#REF!+#REF!+#REF!+#REF!</f>
        <v>#REF!</v>
      </c>
      <c r="E221" s="212"/>
      <c r="F221" s="211"/>
    </row>
    <row r="222" spans="1:6" x14ac:dyDescent="0.35">
      <c r="A222" s="226" t="s">
        <v>507</v>
      </c>
      <c r="B222" s="234" t="s">
        <v>508</v>
      </c>
      <c r="C222" s="210" t="e">
        <f>#REF!+#REF!+#REF!+#REF!+#REF!</f>
        <v>#REF!</v>
      </c>
      <c r="D222" s="211" t="e">
        <f>#REF!+#REF!+#REF!+#REF!+#REF!</f>
        <v>#REF!</v>
      </c>
      <c r="E222" s="212"/>
      <c r="F222" s="211"/>
    </row>
    <row r="223" spans="1:6" x14ac:dyDescent="0.35">
      <c r="A223" s="226" t="s">
        <v>509</v>
      </c>
      <c r="B223" s="220" t="s">
        <v>510</v>
      </c>
      <c r="C223" s="210" t="e">
        <f>#REF!+#REF!+#REF!+#REF!+#REF!</f>
        <v>#REF!</v>
      </c>
      <c r="D223" s="211" t="e">
        <f>#REF!+#REF!+#REF!+#REF!+#REF!</f>
        <v>#REF!</v>
      </c>
      <c r="E223" s="212"/>
      <c r="F223" s="211"/>
    </row>
    <row r="224" spans="1:6" x14ac:dyDescent="0.35">
      <c r="A224" s="226" t="s">
        <v>511</v>
      </c>
      <c r="B224" s="220" t="s">
        <v>512</v>
      </c>
      <c r="C224" s="210" t="e">
        <f>#REF!+#REF!+#REF!+#REF!+#REF!</f>
        <v>#REF!</v>
      </c>
      <c r="D224" s="211" t="e">
        <f>#REF!+#REF!+#REF!+#REF!+#REF!</f>
        <v>#REF!</v>
      </c>
      <c r="E224" s="212"/>
      <c r="F224" s="211"/>
    </row>
    <row r="225" spans="1:6" x14ac:dyDescent="0.35">
      <c r="A225" s="226" t="s">
        <v>513</v>
      </c>
      <c r="B225" s="220" t="s">
        <v>514</v>
      </c>
      <c r="C225" s="210" t="e">
        <f>#REF!+#REF!+#REF!+#REF!+#REF!</f>
        <v>#REF!</v>
      </c>
      <c r="D225" s="211" t="e">
        <f>#REF!+#REF!+#REF!+#REF!+#REF!</f>
        <v>#REF!</v>
      </c>
      <c r="E225" s="212"/>
      <c r="F225" s="211"/>
    </row>
    <row r="226" spans="1:6" x14ac:dyDescent="0.35">
      <c r="A226" s="226" t="s">
        <v>515</v>
      </c>
      <c r="B226" s="220" t="s">
        <v>516</v>
      </c>
      <c r="C226" s="210" t="e">
        <f>#REF!+#REF!+#REF!+#REF!+#REF!</f>
        <v>#REF!</v>
      </c>
      <c r="D226" s="211" t="e">
        <f>#REF!+#REF!+#REF!+#REF!+#REF!</f>
        <v>#REF!</v>
      </c>
      <c r="E226" s="212"/>
      <c r="F226" s="211"/>
    </row>
    <row r="227" spans="1:6" x14ac:dyDescent="0.35">
      <c r="A227" s="226" t="s">
        <v>517</v>
      </c>
      <c r="B227" s="220" t="s">
        <v>518</v>
      </c>
      <c r="C227" s="210" t="e">
        <f>#REF!+#REF!+#REF!+#REF!+#REF!</f>
        <v>#REF!</v>
      </c>
      <c r="D227" s="211" t="e">
        <f>#REF!+#REF!+#REF!+#REF!+#REF!</f>
        <v>#REF!</v>
      </c>
      <c r="E227" s="212"/>
      <c r="F227" s="211"/>
    </row>
    <row r="228" spans="1:6" x14ac:dyDescent="0.35">
      <c r="A228" s="226" t="s">
        <v>519</v>
      </c>
      <c r="B228" s="220" t="s">
        <v>520</v>
      </c>
      <c r="C228" s="210" t="e">
        <f>#REF!+#REF!+#REF!+#REF!+#REF!</f>
        <v>#REF!</v>
      </c>
      <c r="D228" s="211" t="e">
        <f>#REF!+#REF!+#REF!+#REF!+#REF!</f>
        <v>#REF!</v>
      </c>
      <c r="E228" s="212"/>
      <c r="F228" s="211"/>
    </row>
    <row r="229" spans="1:6" x14ac:dyDescent="0.35">
      <c r="A229" s="226" t="s">
        <v>521</v>
      </c>
      <c r="B229" s="220" t="s">
        <v>522</v>
      </c>
      <c r="C229" s="210" t="e">
        <f>#REF!+#REF!+#REF!+#REF!+#REF!</f>
        <v>#REF!</v>
      </c>
      <c r="D229" s="211" t="e">
        <f>#REF!+#REF!+#REF!+#REF!+#REF!</f>
        <v>#REF!</v>
      </c>
      <c r="E229" s="212"/>
      <c r="F229" s="211"/>
    </row>
    <row r="230" spans="1:6" x14ac:dyDescent="0.35">
      <c r="A230" s="226" t="s">
        <v>523</v>
      </c>
      <c r="B230" s="220" t="s">
        <v>524</v>
      </c>
      <c r="C230" s="210" t="e">
        <f>#REF!+#REF!+#REF!+#REF!+#REF!</f>
        <v>#REF!</v>
      </c>
      <c r="D230" s="211" t="e">
        <f>#REF!+#REF!+#REF!+#REF!+#REF!</f>
        <v>#REF!</v>
      </c>
      <c r="E230" s="212"/>
      <c r="F230" s="211"/>
    </row>
    <row r="231" spans="1:6" x14ac:dyDescent="0.35">
      <c r="A231" s="226" t="s">
        <v>525</v>
      </c>
      <c r="B231" s="220" t="s">
        <v>526</v>
      </c>
      <c r="C231" s="210" t="e">
        <f>#REF!+#REF!+#REF!+#REF!+#REF!</f>
        <v>#REF!</v>
      </c>
      <c r="D231" s="211" t="e">
        <f>#REF!+#REF!+#REF!+#REF!+#REF!</f>
        <v>#REF!</v>
      </c>
      <c r="E231" s="212"/>
      <c r="F231" s="211"/>
    </row>
    <row r="232" spans="1:6" x14ac:dyDescent="0.35">
      <c r="A232" s="226" t="s">
        <v>527</v>
      </c>
      <c r="B232" s="220" t="s">
        <v>528</v>
      </c>
      <c r="C232" s="210" t="e">
        <f>#REF!+#REF!+#REF!+#REF!+#REF!</f>
        <v>#REF!</v>
      </c>
      <c r="D232" s="211" t="e">
        <f>#REF!+#REF!+#REF!+#REF!+#REF!</f>
        <v>#REF!</v>
      </c>
      <c r="E232" s="212"/>
      <c r="F232" s="211"/>
    </row>
    <row r="233" spans="1:6" x14ac:dyDescent="0.35">
      <c r="A233" s="226" t="s">
        <v>529</v>
      </c>
      <c r="B233" s="220" t="s">
        <v>530</v>
      </c>
      <c r="C233" s="210" t="e">
        <f>#REF!+#REF!+#REF!+#REF!+#REF!</f>
        <v>#REF!</v>
      </c>
      <c r="D233" s="211" t="e">
        <f>#REF!+#REF!+#REF!+#REF!+#REF!</f>
        <v>#REF!</v>
      </c>
      <c r="E233" s="212"/>
      <c r="F233" s="211"/>
    </row>
    <row r="234" spans="1:6" x14ac:dyDescent="0.35">
      <c r="A234" s="226" t="s">
        <v>531</v>
      </c>
      <c r="B234" s="220" t="s">
        <v>532</v>
      </c>
      <c r="C234" s="210" t="e">
        <f>#REF!+#REF!+#REF!+#REF!+#REF!</f>
        <v>#REF!</v>
      </c>
      <c r="D234" s="211" t="e">
        <f>#REF!+#REF!+#REF!+#REF!+#REF!</f>
        <v>#REF!</v>
      </c>
      <c r="E234" s="212"/>
      <c r="F234" s="211"/>
    </row>
    <row r="235" spans="1:6" x14ac:dyDescent="0.35">
      <c r="A235" s="226" t="s">
        <v>533</v>
      </c>
      <c r="B235" s="220" t="s">
        <v>534</v>
      </c>
      <c r="C235" s="210" t="e">
        <f>#REF!+#REF!+#REF!+#REF!+#REF!</f>
        <v>#REF!</v>
      </c>
      <c r="D235" s="211" t="e">
        <f>#REF!+#REF!+#REF!+#REF!+#REF!</f>
        <v>#REF!</v>
      </c>
      <c r="E235" s="212"/>
      <c r="F235" s="211"/>
    </row>
    <row r="236" spans="1:6" x14ac:dyDescent="0.35">
      <c r="A236" s="226" t="s">
        <v>535</v>
      </c>
      <c r="B236" s="220" t="s">
        <v>536</v>
      </c>
      <c r="C236" s="210" t="e">
        <f>#REF!+#REF!+#REF!+#REF!+#REF!</f>
        <v>#REF!</v>
      </c>
      <c r="D236" s="211" t="e">
        <f>#REF!+#REF!+#REF!+#REF!+#REF!</f>
        <v>#REF!</v>
      </c>
      <c r="E236" s="212"/>
      <c r="F236" s="211"/>
    </row>
    <row r="237" spans="1:6" x14ac:dyDescent="0.35">
      <c r="A237" s="226" t="s">
        <v>537</v>
      </c>
      <c r="B237" s="220" t="s">
        <v>538</v>
      </c>
      <c r="C237" s="210" t="e">
        <f>#REF!+#REF!+#REF!+#REF!+#REF!</f>
        <v>#REF!</v>
      </c>
      <c r="D237" s="211" t="e">
        <f>#REF!+#REF!+#REF!+#REF!+#REF!</f>
        <v>#REF!</v>
      </c>
      <c r="E237" s="212"/>
      <c r="F237" s="211"/>
    </row>
    <row r="238" spans="1:6" x14ac:dyDescent="0.35">
      <c r="A238" s="226" t="s">
        <v>539</v>
      </c>
      <c r="B238" s="220" t="s">
        <v>540</v>
      </c>
      <c r="C238" s="210" t="e">
        <f>#REF!+#REF!+#REF!+#REF!+#REF!</f>
        <v>#REF!</v>
      </c>
      <c r="D238" s="211" t="e">
        <f>#REF!+#REF!+#REF!+#REF!+#REF!</f>
        <v>#REF!</v>
      </c>
      <c r="E238" s="212"/>
      <c r="F238" s="211"/>
    </row>
    <row r="239" spans="1:6" x14ac:dyDescent="0.35">
      <c r="A239" s="226" t="s">
        <v>541</v>
      </c>
      <c r="B239" s="220" t="s">
        <v>542</v>
      </c>
      <c r="C239" s="210" t="e">
        <f>#REF!+#REF!+#REF!+#REF!+#REF!</f>
        <v>#REF!</v>
      </c>
      <c r="D239" s="211" t="e">
        <f>#REF!+#REF!+#REF!+#REF!+#REF!</f>
        <v>#REF!</v>
      </c>
      <c r="E239" s="212"/>
      <c r="F239" s="211"/>
    </row>
    <row r="240" spans="1:6" x14ac:dyDescent="0.35">
      <c r="A240" s="226" t="s">
        <v>543</v>
      </c>
      <c r="B240" s="220" t="s">
        <v>544</v>
      </c>
      <c r="C240" s="210" t="e">
        <f>#REF!+#REF!+#REF!+#REF!+#REF!</f>
        <v>#REF!</v>
      </c>
      <c r="D240" s="211" t="e">
        <f>#REF!+#REF!+#REF!+#REF!+#REF!</f>
        <v>#REF!</v>
      </c>
      <c r="E240" s="212"/>
      <c r="F240" s="211"/>
    </row>
    <row r="241" spans="1:6" x14ac:dyDescent="0.35">
      <c r="A241" s="226" t="s">
        <v>545</v>
      </c>
      <c r="B241" s="220" t="s">
        <v>546</v>
      </c>
      <c r="C241" s="210" t="e">
        <f>#REF!+#REF!+#REF!+#REF!+#REF!</f>
        <v>#REF!</v>
      </c>
      <c r="D241" s="211" t="e">
        <f>#REF!+#REF!+#REF!+#REF!+#REF!</f>
        <v>#REF!</v>
      </c>
      <c r="E241" s="212"/>
      <c r="F241" s="211"/>
    </row>
    <row r="242" spans="1:6" x14ac:dyDescent="0.35">
      <c r="A242" s="233" t="s">
        <v>547</v>
      </c>
      <c r="B242" s="235" t="s">
        <v>548</v>
      </c>
      <c r="C242" s="210" t="e">
        <f>#REF!+#REF!+#REF!+#REF!+#REF!</f>
        <v>#REF!</v>
      </c>
      <c r="D242" s="211" t="e">
        <f>#REF!+#REF!+#REF!+#REF!+#REF!</f>
        <v>#REF!</v>
      </c>
      <c r="E242" s="212"/>
      <c r="F242" s="211"/>
    </row>
    <row r="243" spans="1:6" x14ac:dyDescent="0.35">
      <c r="A243" s="236" t="s">
        <v>549</v>
      </c>
      <c r="B243" s="220" t="s">
        <v>550</v>
      </c>
      <c r="C243" s="210" t="e">
        <f>#REF!+#REF!+#REF!+#REF!+#REF!</f>
        <v>#REF!</v>
      </c>
      <c r="D243" s="211" t="e">
        <f>#REF!+#REF!+#REF!+#REF!+#REF!</f>
        <v>#REF!</v>
      </c>
      <c r="E243" s="212"/>
      <c r="F243" s="211"/>
    </row>
    <row r="244" spans="1:6" x14ac:dyDescent="0.35">
      <c r="A244" s="236" t="s">
        <v>551</v>
      </c>
      <c r="B244" s="220" t="s">
        <v>552</v>
      </c>
      <c r="C244" s="210" t="e">
        <f>#REF!+#REF!+#REF!+#REF!+#REF!</f>
        <v>#REF!</v>
      </c>
      <c r="D244" s="211" t="e">
        <f>#REF!+#REF!+#REF!+#REF!+#REF!</f>
        <v>#REF!</v>
      </c>
      <c r="E244" s="212"/>
      <c r="F244" s="211"/>
    </row>
    <row r="245" spans="1:6" x14ac:dyDescent="0.35">
      <c r="A245" s="226" t="s">
        <v>553</v>
      </c>
      <c r="B245" s="220" t="s">
        <v>554</v>
      </c>
      <c r="C245" s="210" t="e">
        <f>#REF!+#REF!+#REF!+#REF!+#REF!</f>
        <v>#REF!</v>
      </c>
      <c r="D245" s="211" t="e">
        <f>#REF!+#REF!+#REF!+#REF!+#REF!</f>
        <v>#REF!</v>
      </c>
      <c r="E245" s="212"/>
      <c r="F245" s="211"/>
    </row>
    <row r="246" spans="1:6" x14ac:dyDescent="0.35">
      <c r="A246" s="226" t="s">
        <v>555</v>
      </c>
      <c r="B246" s="220" t="s">
        <v>556</v>
      </c>
      <c r="C246" s="210" t="e">
        <f>#REF!+#REF!+#REF!+#REF!+#REF!</f>
        <v>#REF!</v>
      </c>
      <c r="D246" s="211" t="e">
        <f>#REF!+#REF!+#REF!+#REF!+#REF!</f>
        <v>#REF!</v>
      </c>
      <c r="E246" s="212"/>
      <c r="F246" s="211"/>
    </row>
    <row r="247" spans="1:6" x14ac:dyDescent="0.35">
      <c r="A247" s="226" t="s">
        <v>557</v>
      </c>
      <c r="B247" s="220" t="s">
        <v>558</v>
      </c>
      <c r="C247" s="210" t="e">
        <f>#REF!+#REF!+#REF!+#REF!+#REF!</f>
        <v>#REF!</v>
      </c>
      <c r="D247" s="211" t="e">
        <f>#REF!+#REF!+#REF!+#REF!+#REF!</f>
        <v>#REF!</v>
      </c>
      <c r="E247" s="212"/>
      <c r="F247" s="211"/>
    </row>
    <row r="248" spans="1:6" x14ac:dyDescent="0.35">
      <c r="A248" s="226" t="s">
        <v>559</v>
      </c>
      <c r="B248" s="220" t="s">
        <v>560</v>
      </c>
      <c r="C248" s="210" t="e">
        <f>#REF!+#REF!+#REF!+#REF!+#REF!</f>
        <v>#REF!</v>
      </c>
      <c r="D248" s="211" t="e">
        <f>#REF!+#REF!+#REF!+#REF!+#REF!</f>
        <v>#REF!</v>
      </c>
      <c r="E248" s="212"/>
      <c r="F248" s="211"/>
    </row>
    <row r="249" spans="1:6" x14ac:dyDescent="0.35">
      <c r="A249" s="226" t="s">
        <v>561</v>
      </c>
      <c r="B249" s="220" t="s">
        <v>562</v>
      </c>
      <c r="C249" s="210" t="e">
        <f>#REF!+#REF!+#REF!+#REF!+#REF!</f>
        <v>#REF!</v>
      </c>
      <c r="D249" s="211" t="e">
        <f>#REF!+#REF!+#REF!+#REF!+#REF!</f>
        <v>#REF!</v>
      </c>
      <c r="E249" s="212"/>
      <c r="F249" s="211"/>
    </row>
    <row r="250" spans="1:6" x14ac:dyDescent="0.35">
      <c r="A250" s="226" t="s">
        <v>563</v>
      </c>
      <c r="B250" s="220" t="s">
        <v>564</v>
      </c>
      <c r="C250" s="210" t="e">
        <f>#REF!+#REF!+#REF!+#REF!+#REF!</f>
        <v>#REF!</v>
      </c>
      <c r="D250" s="211" t="e">
        <f>#REF!+#REF!+#REF!+#REF!+#REF!</f>
        <v>#REF!</v>
      </c>
      <c r="E250" s="212"/>
      <c r="F250" s="211"/>
    </row>
    <row r="251" spans="1:6" x14ac:dyDescent="0.35">
      <c r="A251" s="226" t="s">
        <v>565</v>
      </c>
      <c r="B251" s="220" t="s">
        <v>566</v>
      </c>
      <c r="C251" s="210" t="e">
        <f>#REF!+#REF!+#REF!+#REF!+#REF!</f>
        <v>#REF!</v>
      </c>
      <c r="D251" s="211" t="e">
        <f>#REF!+#REF!+#REF!+#REF!+#REF!</f>
        <v>#REF!</v>
      </c>
      <c r="E251" s="212"/>
      <c r="F251" s="211"/>
    </row>
    <row r="252" spans="1:6" x14ac:dyDescent="0.35">
      <c r="A252" s="226" t="s">
        <v>567</v>
      </c>
      <c r="B252" s="220" t="s">
        <v>568</v>
      </c>
      <c r="C252" s="210" t="e">
        <f>#REF!+#REF!+#REF!+#REF!+#REF!</f>
        <v>#REF!</v>
      </c>
      <c r="D252" s="211" t="e">
        <f>#REF!+#REF!+#REF!+#REF!+#REF!</f>
        <v>#REF!</v>
      </c>
      <c r="E252" s="212"/>
      <c r="F252" s="211"/>
    </row>
    <row r="253" spans="1:6" x14ac:dyDescent="0.35">
      <c r="A253" s="226" t="s">
        <v>569</v>
      </c>
      <c r="B253" s="220" t="s">
        <v>570</v>
      </c>
      <c r="C253" s="210" t="e">
        <f>#REF!+#REF!+#REF!+#REF!+#REF!</f>
        <v>#REF!</v>
      </c>
      <c r="D253" s="211" t="e">
        <f>#REF!+#REF!+#REF!+#REF!+#REF!</f>
        <v>#REF!</v>
      </c>
      <c r="E253" s="212"/>
      <c r="F253" s="211"/>
    </row>
    <row r="254" spans="1:6" x14ac:dyDescent="0.35">
      <c r="A254" s="226" t="s">
        <v>571</v>
      </c>
      <c r="B254" s="220" t="s">
        <v>572</v>
      </c>
      <c r="C254" s="210" t="e">
        <f>#REF!+#REF!+#REF!+#REF!+#REF!</f>
        <v>#REF!</v>
      </c>
      <c r="D254" s="211" t="e">
        <f>#REF!+#REF!+#REF!+#REF!+#REF!</f>
        <v>#REF!</v>
      </c>
      <c r="E254" s="212"/>
      <c r="F254" s="211"/>
    </row>
    <row r="255" spans="1:6" x14ac:dyDescent="0.35">
      <c r="A255" s="226" t="s">
        <v>573</v>
      </c>
      <c r="B255" s="220" t="s">
        <v>574</v>
      </c>
      <c r="C255" s="210" t="e">
        <f>#REF!+#REF!+#REF!+#REF!+#REF!</f>
        <v>#REF!</v>
      </c>
      <c r="D255" s="211" t="e">
        <f>#REF!+#REF!+#REF!+#REF!+#REF!</f>
        <v>#REF!</v>
      </c>
      <c r="E255" s="212"/>
      <c r="F255" s="211"/>
    </row>
    <row r="256" spans="1:6" x14ac:dyDescent="0.35">
      <c r="A256" s="226" t="s">
        <v>575</v>
      </c>
      <c r="B256" s="220" t="s">
        <v>576</v>
      </c>
      <c r="C256" s="210" t="e">
        <f>#REF!+#REF!+#REF!+#REF!+#REF!</f>
        <v>#REF!</v>
      </c>
      <c r="D256" s="211" t="e">
        <f>#REF!+#REF!+#REF!+#REF!+#REF!</f>
        <v>#REF!</v>
      </c>
      <c r="E256" s="212"/>
      <c r="F256" s="211"/>
    </row>
    <row r="257" spans="1:6" x14ac:dyDescent="0.35">
      <c r="A257" s="226" t="s">
        <v>577</v>
      </c>
      <c r="B257" s="220" t="s">
        <v>578</v>
      </c>
      <c r="C257" s="210" t="e">
        <f>#REF!+#REF!+#REF!+#REF!+#REF!</f>
        <v>#REF!</v>
      </c>
      <c r="D257" s="211" t="e">
        <f>#REF!+#REF!+#REF!+#REF!+#REF!</f>
        <v>#REF!</v>
      </c>
      <c r="E257" s="212"/>
      <c r="F257" s="211"/>
    </row>
    <row r="258" spans="1:6" x14ac:dyDescent="0.35">
      <c r="A258" s="226" t="s">
        <v>579</v>
      </c>
      <c r="B258" s="220" t="s">
        <v>580</v>
      </c>
      <c r="C258" s="210" t="e">
        <f>#REF!+#REF!+#REF!+#REF!+#REF!</f>
        <v>#REF!</v>
      </c>
      <c r="D258" s="211" t="e">
        <f>#REF!+#REF!+#REF!+#REF!+#REF!</f>
        <v>#REF!</v>
      </c>
      <c r="E258" s="212"/>
      <c r="F258" s="211"/>
    </row>
    <row r="259" spans="1:6" x14ac:dyDescent="0.35">
      <c r="A259" s="226" t="s">
        <v>581</v>
      </c>
      <c r="B259" s="220" t="s">
        <v>582</v>
      </c>
      <c r="C259" s="210" t="e">
        <f>#REF!+#REF!+#REF!+#REF!+#REF!</f>
        <v>#REF!</v>
      </c>
      <c r="D259" s="211" t="e">
        <f>#REF!+#REF!+#REF!+#REF!+#REF!</f>
        <v>#REF!</v>
      </c>
      <c r="E259" s="212"/>
      <c r="F259" s="211"/>
    </row>
    <row r="260" spans="1:6" x14ac:dyDescent="0.35">
      <c r="A260" s="226" t="s">
        <v>583</v>
      </c>
      <c r="B260" s="220" t="s">
        <v>584</v>
      </c>
      <c r="C260" s="210" t="e">
        <f>#REF!+#REF!+#REF!+#REF!+#REF!</f>
        <v>#REF!</v>
      </c>
      <c r="D260" s="211" t="e">
        <f>#REF!+#REF!+#REF!+#REF!+#REF!</f>
        <v>#REF!</v>
      </c>
      <c r="E260" s="212"/>
      <c r="F260" s="211"/>
    </row>
    <row r="261" spans="1:6" x14ac:dyDescent="0.35">
      <c r="A261" s="226" t="s">
        <v>585</v>
      </c>
      <c r="B261" s="220" t="s">
        <v>586</v>
      </c>
      <c r="C261" s="210" t="e">
        <f>#REF!+#REF!+#REF!+#REF!+#REF!</f>
        <v>#REF!</v>
      </c>
      <c r="D261" s="211" t="e">
        <f>#REF!+#REF!+#REF!+#REF!+#REF!</f>
        <v>#REF!</v>
      </c>
      <c r="E261" s="212"/>
      <c r="F261" s="211"/>
    </row>
    <row r="262" spans="1:6" x14ac:dyDescent="0.35">
      <c r="A262" s="226" t="s">
        <v>587</v>
      </c>
      <c r="B262" s="220" t="s">
        <v>588</v>
      </c>
      <c r="C262" s="210" t="e">
        <f>#REF!+#REF!+#REF!+#REF!+#REF!</f>
        <v>#REF!</v>
      </c>
      <c r="D262" s="211" t="e">
        <f>#REF!+#REF!+#REF!+#REF!+#REF!</f>
        <v>#REF!</v>
      </c>
      <c r="E262" s="212"/>
      <c r="F262" s="211"/>
    </row>
    <row r="263" spans="1:6" x14ac:dyDescent="0.35">
      <c r="A263" s="226" t="s">
        <v>589</v>
      </c>
      <c r="B263" s="220" t="s">
        <v>590</v>
      </c>
      <c r="C263" s="210" t="e">
        <f>#REF!+#REF!+#REF!+#REF!+#REF!</f>
        <v>#REF!</v>
      </c>
      <c r="D263" s="211" t="e">
        <f>#REF!+#REF!+#REF!+#REF!+#REF!</f>
        <v>#REF!</v>
      </c>
      <c r="E263" s="212"/>
      <c r="F263" s="211"/>
    </row>
    <row r="264" spans="1:6" x14ac:dyDescent="0.35">
      <c r="A264" s="219" t="s">
        <v>591</v>
      </c>
      <c r="B264" s="224" t="s">
        <v>592</v>
      </c>
      <c r="C264" s="210" t="e">
        <f>#REF!+#REF!+#REF!+#REF!+#REF!</f>
        <v>#REF!</v>
      </c>
      <c r="D264" s="211" t="e">
        <f>#REF!+#REF!+#REF!+#REF!+#REF!</f>
        <v>#REF!</v>
      </c>
      <c r="E264" s="212"/>
      <c r="F264" s="211"/>
    </row>
    <row r="265" spans="1:6" x14ac:dyDescent="0.35">
      <c r="A265" s="219" t="s">
        <v>593</v>
      </c>
      <c r="B265" s="224" t="s">
        <v>594</v>
      </c>
      <c r="C265" s="210" t="e">
        <f>#REF!+#REF!+#REF!+#REF!+#REF!</f>
        <v>#REF!</v>
      </c>
      <c r="D265" s="211" t="e">
        <f>#REF!+#REF!+#REF!+#REF!+#REF!</f>
        <v>#REF!</v>
      </c>
      <c r="E265" s="212"/>
      <c r="F265" s="211"/>
    </row>
    <row r="266" spans="1:6" x14ac:dyDescent="0.35">
      <c r="A266" s="219" t="s">
        <v>595</v>
      </c>
      <c r="B266" s="224" t="s">
        <v>596</v>
      </c>
      <c r="C266" s="210" t="e">
        <f>#REF!+#REF!+#REF!+#REF!+#REF!</f>
        <v>#REF!</v>
      </c>
      <c r="D266" s="211" t="e">
        <f>#REF!+#REF!+#REF!+#REF!+#REF!</f>
        <v>#REF!</v>
      </c>
      <c r="E266" s="212"/>
      <c r="F266" s="211"/>
    </row>
    <row r="267" spans="1:6" x14ac:dyDescent="0.35">
      <c r="A267" s="219" t="s">
        <v>597</v>
      </c>
      <c r="B267" s="224" t="s">
        <v>598</v>
      </c>
      <c r="C267" s="210" t="e">
        <f>#REF!+#REF!+#REF!+#REF!+#REF!</f>
        <v>#REF!</v>
      </c>
      <c r="D267" s="211" t="e">
        <f>#REF!+#REF!+#REF!+#REF!+#REF!</f>
        <v>#REF!</v>
      </c>
      <c r="E267" s="212"/>
      <c r="F267" s="211"/>
    </row>
    <row r="268" spans="1:6" x14ac:dyDescent="0.35">
      <c r="A268" s="219" t="s">
        <v>599</v>
      </c>
      <c r="B268" s="224" t="s">
        <v>600</v>
      </c>
      <c r="C268" s="210" t="e">
        <f>#REF!+#REF!+#REF!+#REF!+#REF!</f>
        <v>#REF!</v>
      </c>
      <c r="D268" s="211" t="e">
        <f>#REF!+#REF!+#REF!+#REF!+#REF!</f>
        <v>#REF!</v>
      </c>
      <c r="E268" s="212"/>
      <c r="F268" s="211"/>
    </row>
    <row r="269" spans="1:6" x14ac:dyDescent="0.35">
      <c r="A269" s="219" t="s">
        <v>601</v>
      </c>
      <c r="B269" s="224" t="s">
        <v>602</v>
      </c>
      <c r="C269" s="210" t="e">
        <f>#REF!+#REF!+#REF!+#REF!+#REF!</f>
        <v>#REF!</v>
      </c>
      <c r="D269" s="211" t="e">
        <f>#REF!+#REF!+#REF!+#REF!+#REF!</f>
        <v>#REF!</v>
      </c>
      <c r="E269" s="212"/>
      <c r="F269" s="211"/>
    </row>
    <row r="270" spans="1:6" x14ac:dyDescent="0.35">
      <c r="A270" s="219" t="s">
        <v>603</v>
      </c>
      <c r="B270" s="224" t="s">
        <v>604</v>
      </c>
      <c r="C270" s="210" t="e">
        <f>#REF!+#REF!+#REF!+#REF!+#REF!</f>
        <v>#REF!</v>
      </c>
      <c r="D270" s="211" t="e">
        <f>#REF!+#REF!+#REF!+#REF!+#REF!</f>
        <v>#REF!</v>
      </c>
      <c r="E270" s="212"/>
      <c r="F270" s="211"/>
    </row>
    <row r="271" spans="1:6" x14ac:dyDescent="0.35">
      <c r="A271" s="219" t="s">
        <v>605</v>
      </c>
      <c r="B271" s="224" t="s">
        <v>606</v>
      </c>
      <c r="C271" s="210" t="e">
        <f>#REF!+#REF!+#REF!+#REF!+#REF!</f>
        <v>#REF!</v>
      </c>
      <c r="D271" s="211" t="e">
        <f>#REF!+#REF!+#REF!+#REF!+#REF!</f>
        <v>#REF!</v>
      </c>
      <c r="E271" s="212"/>
      <c r="F271" s="211"/>
    </row>
    <row r="272" spans="1:6" ht="15" thickBot="1" x14ac:dyDescent="0.4">
      <c r="A272" s="237"/>
      <c r="B272" s="238"/>
      <c r="C272" s="239" t="e">
        <f t="shared" ref="C272:F272" si="0">SUM(C8:C271)</f>
        <v>#REF!</v>
      </c>
      <c r="D272" s="239" t="e">
        <f t="shared" si="0"/>
        <v>#REF!</v>
      </c>
      <c r="E272" s="240">
        <f t="shared" si="0"/>
        <v>0</v>
      </c>
      <c r="F272" s="240">
        <f t="shared" si="0"/>
        <v>0</v>
      </c>
    </row>
    <row r="273" spans="1:6" x14ac:dyDescent="0.35">
      <c r="A273" s="246"/>
      <c r="B273" s="246"/>
      <c r="C273" s="247"/>
      <c r="D273" s="247" t="e">
        <f>C272-D272</f>
        <v>#REF!</v>
      </c>
      <c r="E273" s="247"/>
      <c r="F273" s="248">
        <f>E272-F272</f>
        <v>0</v>
      </c>
    </row>
    <row r="274" spans="1:6" x14ac:dyDescent="0.35">
      <c r="B274" t="s">
        <v>33</v>
      </c>
    </row>
    <row r="275" spans="1:6" x14ac:dyDescent="0.35">
      <c r="B275" t="s">
        <v>4</v>
      </c>
      <c r="C275" t="s">
        <v>70</v>
      </c>
      <c r="E275" s="203"/>
    </row>
    <row r="276" spans="1:6" x14ac:dyDescent="0.35">
      <c r="B276" s="196"/>
      <c r="C276" s="196"/>
      <c r="D276" s="196"/>
      <c r="E276" s="196"/>
    </row>
    <row r="277" spans="1:6" x14ac:dyDescent="0.35">
      <c r="B277" s="376" t="s">
        <v>19</v>
      </c>
      <c r="C277" s="376"/>
      <c r="D277" s="376"/>
      <c r="E277" s="376"/>
    </row>
    <row r="278" spans="1:6" x14ac:dyDescent="0.35">
      <c r="E278" s="202"/>
      <c r="F278" s="202"/>
    </row>
  </sheetData>
  <mergeCells count="9">
    <mergeCell ref="B277:E277"/>
    <mergeCell ref="A1:F1"/>
    <mergeCell ref="A2:F2"/>
    <mergeCell ref="A3:F3"/>
    <mergeCell ref="A4:F4"/>
    <mergeCell ref="A6:A7"/>
    <mergeCell ref="B6:B7"/>
    <mergeCell ref="C6:D6"/>
    <mergeCell ref="E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7DCF-4C3B-4453-99D5-0FB0D7BC396D}">
  <dimension ref="A1:P278"/>
  <sheetViews>
    <sheetView topLeftCell="A141" workbookViewId="0">
      <selection activeCell="F271" sqref="F271"/>
    </sheetView>
  </sheetViews>
  <sheetFormatPr defaultRowHeight="14.5" x14ac:dyDescent="0.35"/>
  <cols>
    <col min="1" max="1" width="46.7265625" customWidth="1"/>
    <col min="2" max="2" width="12.453125" customWidth="1"/>
    <col min="3" max="4" width="14.81640625" hidden="1" customWidth="1"/>
    <col min="5" max="5" width="14.453125" customWidth="1"/>
    <col min="6" max="6" width="14.1796875" customWidth="1"/>
    <col min="7" max="7" width="12.81640625" customWidth="1"/>
    <col min="8" max="8" width="12.26953125" customWidth="1"/>
    <col min="9" max="9" width="14.1796875" customWidth="1"/>
    <col min="10" max="10" width="13.81640625" customWidth="1"/>
    <col min="11" max="11" width="12.7265625" customWidth="1"/>
    <col min="12" max="12" width="12.81640625" customWidth="1"/>
    <col min="13" max="13" width="13.1796875" customWidth="1"/>
    <col min="14" max="14" width="14.7265625" customWidth="1"/>
    <col min="15" max="15" width="14.1796875" customWidth="1"/>
    <col min="16" max="16" width="14.26953125" customWidth="1"/>
  </cols>
  <sheetData>
    <row r="1" spans="1:16" x14ac:dyDescent="0.35">
      <c r="A1" s="197" t="s">
        <v>71</v>
      </c>
      <c r="B1" s="197"/>
      <c r="C1" s="197">
        <v>0</v>
      </c>
      <c r="D1" s="197"/>
      <c r="E1" s="197"/>
      <c r="F1" s="197"/>
      <c r="G1" s="197"/>
      <c r="H1" s="197"/>
    </row>
    <row r="2" spans="1:16" x14ac:dyDescent="0.35">
      <c r="A2" s="197" t="s">
        <v>72</v>
      </c>
      <c r="B2" s="198"/>
      <c r="C2" s="197"/>
      <c r="D2" s="197"/>
      <c r="E2" s="199"/>
      <c r="F2" s="199"/>
      <c r="G2" s="200"/>
      <c r="H2" s="201"/>
      <c r="I2" s="202"/>
      <c r="M2" s="202"/>
      <c r="N2" s="202"/>
      <c r="O2" s="202"/>
    </row>
    <row r="3" spans="1:16" x14ac:dyDescent="0.35">
      <c r="A3" s="197" t="s">
        <v>73</v>
      </c>
      <c r="B3" s="197"/>
      <c r="C3" s="197"/>
      <c r="D3" s="197"/>
      <c r="E3" s="198"/>
      <c r="F3" s="199"/>
      <c r="G3" s="199"/>
      <c r="H3" s="201"/>
      <c r="I3" s="202"/>
      <c r="K3" s="203"/>
      <c r="L3" s="202"/>
      <c r="M3" s="202"/>
      <c r="N3" s="204"/>
      <c r="O3" s="202"/>
    </row>
    <row r="4" spans="1:16" ht="15" thickBot="1" x14ac:dyDescent="0.4">
      <c r="A4" s="197" t="s">
        <v>607</v>
      </c>
      <c r="B4" s="197"/>
      <c r="C4" s="197"/>
      <c r="D4" s="197"/>
      <c r="E4" s="197"/>
      <c r="F4" s="197"/>
      <c r="G4" s="197"/>
      <c r="H4" s="197"/>
    </row>
    <row r="5" spans="1:16" x14ac:dyDescent="0.35">
      <c r="A5" s="378" t="s">
        <v>74</v>
      </c>
      <c r="B5" s="378" t="s">
        <v>75</v>
      </c>
      <c r="C5" s="380"/>
      <c r="D5" s="381"/>
      <c r="E5" s="380" t="s">
        <v>608</v>
      </c>
      <c r="F5" s="381"/>
      <c r="G5" s="380" t="s">
        <v>76</v>
      </c>
      <c r="H5" s="381"/>
      <c r="I5" s="380" t="s">
        <v>77</v>
      </c>
      <c r="J5" s="381"/>
      <c r="K5" s="380" t="s">
        <v>78</v>
      </c>
      <c r="L5" s="381"/>
      <c r="M5" s="380" t="s">
        <v>79</v>
      </c>
      <c r="N5" s="381"/>
      <c r="O5" s="380" t="s">
        <v>609</v>
      </c>
      <c r="P5" s="381"/>
    </row>
    <row r="6" spans="1:16" ht="15" thickBot="1" x14ac:dyDescent="0.4">
      <c r="A6" s="379"/>
      <c r="B6" s="379"/>
      <c r="C6" s="205" t="s">
        <v>80</v>
      </c>
      <c r="D6" s="206" t="s">
        <v>81</v>
      </c>
      <c r="E6" s="205" t="s">
        <v>82</v>
      </c>
      <c r="F6" s="206" t="s">
        <v>83</v>
      </c>
      <c r="G6" s="207" t="s">
        <v>82</v>
      </c>
      <c r="H6" s="206" t="s">
        <v>83</v>
      </c>
      <c r="I6" s="207" t="s">
        <v>82</v>
      </c>
      <c r="J6" s="206" t="s">
        <v>83</v>
      </c>
      <c r="K6" s="207" t="s">
        <v>82</v>
      </c>
      <c r="L6" s="206" t="s">
        <v>83</v>
      </c>
      <c r="M6" s="205" t="s">
        <v>82</v>
      </c>
      <c r="N6" s="206" t="s">
        <v>83</v>
      </c>
      <c r="O6" s="207" t="s">
        <v>82</v>
      </c>
      <c r="P6" s="206" t="s">
        <v>83</v>
      </c>
    </row>
    <row r="7" spans="1:16" x14ac:dyDescent="0.35">
      <c r="A7" s="208" t="s">
        <v>84</v>
      </c>
      <c r="B7" s="209" t="s">
        <v>85</v>
      </c>
      <c r="C7" s="210">
        <f t="shared" ref="C7:D72" si="0">G7+O7+I7+K7+M7</f>
        <v>346283.63999999966</v>
      </c>
      <c r="D7" s="211">
        <f t="shared" si="0"/>
        <v>0</v>
      </c>
      <c r="E7" s="212">
        <f t="shared" ref="E7:E14" si="1">C7-D7</f>
        <v>346283.63999999966</v>
      </c>
      <c r="F7" s="213"/>
      <c r="G7" s="214"/>
      <c r="H7" s="214"/>
      <c r="I7" s="215"/>
      <c r="J7" s="215"/>
      <c r="K7" s="214"/>
      <c r="L7" s="214"/>
      <c r="M7" s="216"/>
      <c r="N7" s="216"/>
      <c r="O7" s="217">
        <v>346283.63999999966</v>
      </c>
      <c r="P7" s="218"/>
    </row>
    <row r="8" spans="1:16" x14ac:dyDescent="0.35">
      <c r="A8" s="219" t="s">
        <v>86</v>
      </c>
      <c r="B8" s="220" t="s">
        <v>87</v>
      </c>
      <c r="C8" s="210">
        <f t="shared" si="0"/>
        <v>304892826.06000018</v>
      </c>
      <c r="D8" s="211">
        <f t="shared" si="0"/>
        <v>0</v>
      </c>
      <c r="E8" s="212">
        <f t="shared" si="1"/>
        <v>304892826.06000018</v>
      </c>
      <c r="F8" s="211"/>
      <c r="G8" s="214"/>
      <c r="H8" s="214"/>
      <c r="I8" s="216"/>
      <c r="J8" s="216"/>
      <c r="K8" s="221"/>
      <c r="L8" s="214"/>
      <c r="M8" s="216"/>
      <c r="N8" s="216"/>
      <c r="O8" s="222">
        <v>304892826.06000018</v>
      </c>
      <c r="P8" s="223"/>
    </row>
    <row r="9" spans="1:16" x14ac:dyDescent="0.35">
      <c r="A9" s="219" t="s">
        <v>88</v>
      </c>
      <c r="B9" s="220" t="s">
        <v>89</v>
      </c>
      <c r="C9" s="210">
        <f t="shared" si="0"/>
        <v>10364419.609999999</v>
      </c>
      <c r="D9" s="211">
        <f t="shared" si="0"/>
        <v>0</v>
      </c>
      <c r="E9" s="212">
        <f t="shared" si="1"/>
        <v>10364419.609999999</v>
      </c>
      <c r="F9" s="211"/>
      <c r="G9" s="221"/>
      <c r="H9" s="221"/>
      <c r="I9" s="216"/>
      <c r="J9" s="216"/>
      <c r="K9" s="221"/>
      <c r="L9" s="221"/>
      <c r="M9" s="216"/>
      <c r="N9" s="216"/>
      <c r="O9" s="222">
        <v>10364419.609999999</v>
      </c>
      <c r="P9" s="223"/>
    </row>
    <row r="10" spans="1:16" x14ac:dyDescent="0.35">
      <c r="A10" s="219" t="s">
        <v>90</v>
      </c>
      <c r="B10" s="224" t="s">
        <v>91</v>
      </c>
      <c r="C10" s="210">
        <f t="shared" si="0"/>
        <v>3400</v>
      </c>
      <c r="D10" s="211">
        <f t="shared" si="0"/>
        <v>0</v>
      </c>
      <c r="E10" s="212">
        <f t="shared" si="1"/>
        <v>3400</v>
      </c>
      <c r="F10" s="211">
        <v>0</v>
      </c>
      <c r="G10" s="221"/>
      <c r="H10" s="221"/>
      <c r="I10" s="216"/>
      <c r="J10" s="216"/>
      <c r="K10" s="221"/>
      <c r="L10" s="221"/>
      <c r="M10" s="216"/>
      <c r="N10" s="216"/>
      <c r="O10" s="222">
        <v>3400</v>
      </c>
      <c r="P10" s="223">
        <v>0</v>
      </c>
    </row>
    <row r="11" spans="1:16" x14ac:dyDescent="0.35">
      <c r="A11" s="219" t="s">
        <v>92</v>
      </c>
      <c r="B11" s="224" t="s">
        <v>93</v>
      </c>
      <c r="C11" s="210">
        <f t="shared" si="0"/>
        <v>34209.399999999994</v>
      </c>
      <c r="D11" s="211">
        <f t="shared" si="0"/>
        <v>0</v>
      </c>
      <c r="E11" s="212">
        <f>C11-D11</f>
        <v>34209.399999999994</v>
      </c>
      <c r="F11" s="211">
        <v>0</v>
      </c>
      <c r="G11" s="221"/>
      <c r="H11" s="221"/>
      <c r="I11" s="216"/>
      <c r="J11" s="216"/>
      <c r="K11" s="221"/>
      <c r="L11" s="221"/>
      <c r="M11" s="216"/>
      <c r="N11" s="216"/>
      <c r="O11" s="222">
        <v>34209.399999999994</v>
      </c>
      <c r="P11" s="223">
        <v>0</v>
      </c>
    </row>
    <row r="12" spans="1:16" x14ac:dyDescent="0.35">
      <c r="A12" s="219" t="s">
        <v>94</v>
      </c>
      <c r="B12" s="224" t="s">
        <v>95</v>
      </c>
      <c r="C12" s="210">
        <f t="shared" si="0"/>
        <v>16715813.159999989</v>
      </c>
      <c r="D12" s="211">
        <f t="shared" si="0"/>
        <v>0</v>
      </c>
      <c r="E12" s="212">
        <f t="shared" si="1"/>
        <v>16715813.159999989</v>
      </c>
      <c r="F12" s="211"/>
      <c r="G12" s="221"/>
      <c r="H12" s="221"/>
      <c r="I12" s="216"/>
      <c r="J12" s="216"/>
      <c r="K12" s="221"/>
      <c r="L12" s="221"/>
      <c r="M12" s="216"/>
      <c r="N12" s="216"/>
      <c r="O12" s="222">
        <v>16715813.159999989</v>
      </c>
      <c r="P12" s="223"/>
    </row>
    <row r="13" spans="1:16" x14ac:dyDescent="0.35">
      <c r="A13" s="219" t="s">
        <v>96</v>
      </c>
      <c r="B13" s="224" t="s">
        <v>97</v>
      </c>
      <c r="C13" s="210">
        <f t="shared" si="0"/>
        <v>1172304.1000000001</v>
      </c>
      <c r="D13" s="211">
        <f t="shared" si="0"/>
        <v>0</v>
      </c>
      <c r="E13" s="212">
        <f t="shared" si="1"/>
        <v>1172304.1000000001</v>
      </c>
      <c r="F13" s="211"/>
      <c r="G13" s="221"/>
      <c r="H13" s="221"/>
      <c r="I13" s="216"/>
      <c r="J13" s="216"/>
      <c r="K13" s="221"/>
      <c r="L13" s="221"/>
      <c r="M13" s="225"/>
      <c r="N13" s="216"/>
      <c r="O13" s="222">
        <v>1172304.1000000001</v>
      </c>
      <c r="P13" s="223"/>
    </row>
    <row r="14" spans="1:16" x14ac:dyDescent="0.35">
      <c r="A14" s="219" t="s">
        <v>98</v>
      </c>
      <c r="B14" s="224" t="s">
        <v>99</v>
      </c>
      <c r="C14" s="210">
        <f t="shared" si="0"/>
        <v>1016304.0699999998</v>
      </c>
      <c r="D14" s="211">
        <f t="shared" si="0"/>
        <v>0</v>
      </c>
      <c r="E14" s="212">
        <f t="shared" si="1"/>
        <v>1016304.0699999998</v>
      </c>
      <c r="F14" s="211"/>
      <c r="G14" s="221"/>
      <c r="H14" s="221"/>
      <c r="I14" s="216"/>
      <c r="J14" s="216"/>
      <c r="K14" s="221"/>
      <c r="L14" s="221"/>
      <c r="N14" s="216"/>
      <c r="O14" s="222">
        <v>1016304.0699999998</v>
      </c>
      <c r="P14" s="223"/>
    </row>
    <row r="15" spans="1:16" x14ac:dyDescent="0.35">
      <c r="A15" s="219" t="s">
        <v>100</v>
      </c>
      <c r="B15" s="224" t="s">
        <v>101</v>
      </c>
      <c r="C15" s="210">
        <f t="shared" si="0"/>
        <v>0</v>
      </c>
      <c r="D15" s="211">
        <f t="shared" si="0"/>
        <v>51420.2</v>
      </c>
      <c r="E15" s="212"/>
      <c r="F15" s="211">
        <f>D15-C15</f>
        <v>51420.2</v>
      </c>
      <c r="G15" s="221"/>
      <c r="H15" s="221"/>
      <c r="I15" s="216"/>
      <c r="J15" s="216"/>
      <c r="K15" s="221"/>
      <c r="L15" s="221"/>
      <c r="M15" s="216"/>
      <c r="N15" s="216"/>
      <c r="O15" s="222"/>
      <c r="P15" s="223">
        <v>51420.2</v>
      </c>
    </row>
    <row r="16" spans="1:16" x14ac:dyDescent="0.35">
      <c r="A16" s="226" t="s">
        <v>102</v>
      </c>
      <c r="B16" s="224" t="s">
        <v>103</v>
      </c>
      <c r="C16" s="210">
        <f t="shared" si="0"/>
        <v>250000</v>
      </c>
      <c r="D16" s="211">
        <f t="shared" si="0"/>
        <v>0</v>
      </c>
      <c r="E16" s="212">
        <f>C16-D16</f>
        <v>250000</v>
      </c>
      <c r="F16" s="211"/>
      <c r="G16" s="221"/>
      <c r="H16" s="221"/>
      <c r="I16" s="216"/>
      <c r="J16" s="216"/>
      <c r="K16" s="221"/>
      <c r="L16" s="221"/>
      <c r="M16" s="216"/>
      <c r="N16" s="216"/>
      <c r="O16" s="222">
        <v>250000</v>
      </c>
      <c r="P16" s="223"/>
    </row>
    <row r="17" spans="1:16" x14ac:dyDescent="0.35">
      <c r="A17" s="219" t="s">
        <v>104</v>
      </c>
      <c r="B17" s="224" t="s">
        <v>105</v>
      </c>
      <c r="C17" s="210">
        <f t="shared" si="0"/>
        <v>338985.21999999922</v>
      </c>
      <c r="D17" s="211">
        <f t="shared" si="0"/>
        <v>0</v>
      </c>
      <c r="E17" s="212">
        <f>C17-D17</f>
        <v>338985.21999999922</v>
      </c>
      <c r="F17" s="211"/>
      <c r="G17" s="221"/>
      <c r="H17" s="221"/>
      <c r="I17" s="216"/>
      <c r="J17" s="216"/>
      <c r="K17" s="221"/>
      <c r="L17" s="221"/>
      <c r="M17" s="216"/>
      <c r="N17" s="216"/>
      <c r="O17" s="222">
        <v>338985.21999999922</v>
      </c>
      <c r="P17" s="223"/>
    </row>
    <row r="18" spans="1:16" x14ac:dyDescent="0.35">
      <c r="A18" s="219" t="s">
        <v>106</v>
      </c>
      <c r="B18" s="224" t="s">
        <v>107</v>
      </c>
      <c r="C18" s="210">
        <f t="shared" si="0"/>
        <v>90390</v>
      </c>
      <c r="D18" s="211">
        <f t="shared" si="0"/>
        <v>0</v>
      </c>
      <c r="E18" s="212">
        <f>C18-D18</f>
        <v>90390</v>
      </c>
      <c r="F18" s="211"/>
      <c r="G18" s="221"/>
      <c r="H18" s="221"/>
      <c r="I18" s="216"/>
      <c r="J18" s="216"/>
      <c r="K18" s="221"/>
      <c r="L18" s="221"/>
      <c r="M18" s="216"/>
      <c r="N18" s="216"/>
      <c r="O18" s="222">
        <v>90390</v>
      </c>
      <c r="P18" s="223"/>
    </row>
    <row r="19" spans="1:16" x14ac:dyDescent="0.35">
      <c r="A19" s="219" t="s">
        <v>108</v>
      </c>
      <c r="B19" s="220" t="s">
        <v>109</v>
      </c>
      <c r="C19" s="210">
        <f t="shared" si="0"/>
        <v>0</v>
      </c>
      <c r="D19" s="211">
        <f t="shared" si="0"/>
        <v>0</v>
      </c>
      <c r="E19" s="212"/>
      <c r="F19" s="211">
        <f>D19-C19</f>
        <v>0</v>
      </c>
      <c r="G19" s="221"/>
      <c r="H19" s="221"/>
      <c r="I19" s="216"/>
      <c r="J19" s="216"/>
      <c r="K19" s="221"/>
      <c r="L19" s="221"/>
      <c r="M19" s="216"/>
      <c r="N19" s="216"/>
      <c r="O19" s="222"/>
      <c r="P19" s="223">
        <v>0</v>
      </c>
    </row>
    <row r="20" spans="1:16" x14ac:dyDescent="0.35">
      <c r="A20" s="226" t="s">
        <v>110</v>
      </c>
      <c r="B20" s="220" t="s">
        <v>111</v>
      </c>
      <c r="C20" s="210">
        <f t="shared" si="0"/>
        <v>0</v>
      </c>
      <c r="D20" s="211">
        <f t="shared" si="0"/>
        <v>0</v>
      </c>
      <c r="E20" s="212">
        <f>C20-D20</f>
        <v>0</v>
      </c>
      <c r="F20" s="211">
        <v>0</v>
      </c>
      <c r="G20" s="221"/>
      <c r="H20" s="221"/>
      <c r="I20" s="216"/>
      <c r="J20" s="216"/>
      <c r="K20" s="221"/>
      <c r="L20" s="221"/>
      <c r="M20" s="216"/>
      <c r="N20" s="216"/>
      <c r="O20" s="222">
        <v>0</v>
      </c>
      <c r="P20" s="223">
        <v>0</v>
      </c>
    </row>
    <row r="21" spans="1:16" x14ac:dyDescent="0.35">
      <c r="A21" s="219" t="s">
        <v>112</v>
      </c>
      <c r="B21" s="220" t="s">
        <v>113</v>
      </c>
      <c r="C21" s="210">
        <f t="shared" si="0"/>
        <v>321944.39999999979</v>
      </c>
      <c r="D21" s="211">
        <f t="shared" si="0"/>
        <v>0</v>
      </c>
      <c r="E21" s="212">
        <f>C21-D21</f>
        <v>321944.39999999979</v>
      </c>
      <c r="F21" s="211">
        <v>0</v>
      </c>
      <c r="G21" s="221"/>
      <c r="H21" s="227"/>
      <c r="I21" s="216"/>
      <c r="J21" s="216"/>
      <c r="K21" s="221"/>
      <c r="L21" s="221"/>
      <c r="M21" s="216"/>
      <c r="N21" s="216"/>
      <c r="O21" s="222">
        <v>321944.39999999979</v>
      </c>
      <c r="P21" s="223">
        <v>0</v>
      </c>
    </row>
    <row r="22" spans="1:16" x14ac:dyDescent="0.35">
      <c r="A22" s="219" t="s">
        <v>114</v>
      </c>
      <c r="B22" s="224" t="s">
        <v>115</v>
      </c>
      <c r="C22" s="210">
        <f t="shared" si="0"/>
        <v>540036.80000000005</v>
      </c>
      <c r="D22" s="211">
        <f t="shared" si="0"/>
        <v>0</v>
      </c>
      <c r="E22" s="212">
        <f t="shared" ref="E22:E54" si="2">C22-D22</f>
        <v>540036.80000000005</v>
      </c>
      <c r="F22" s="211"/>
      <c r="G22" s="221"/>
      <c r="H22" s="221"/>
      <c r="I22" s="216"/>
      <c r="J22" s="216"/>
      <c r="K22" s="221"/>
      <c r="L22" s="221"/>
      <c r="M22" s="216"/>
      <c r="N22" s="216"/>
      <c r="O22" s="222">
        <v>540036.80000000005</v>
      </c>
      <c r="P22" s="223"/>
    </row>
    <row r="23" spans="1:16" x14ac:dyDescent="0.35">
      <c r="A23" s="219" t="s">
        <v>116</v>
      </c>
      <c r="B23" s="224" t="s">
        <v>117</v>
      </c>
      <c r="C23" s="210">
        <f t="shared" si="0"/>
        <v>13245.189999999999</v>
      </c>
      <c r="D23" s="211">
        <f t="shared" si="0"/>
        <v>0</v>
      </c>
      <c r="E23" s="212">
        <f t="shared" si="2"/>
        <v>13245.189999999999</v>
      </c>
      <c r="F23" s="211"/>
      <c r="G23" s="221"/>
      <c r="H23" s="221"/>
      <c r="I23" s="216"/>
      <c r="J23" s="216"/>
      <c r="K23" s="221"/>
      <c r="L23" s="221"/>
      <c r="M23" s="216"/>
      <c r="N23" s="216"/>
      <c r="O23" s="222">
        <v>13245.189999999999</v>
      </c>
      <c r="P23" s="223"/>
    </row>
    <row r="24" spans="1:16" x14ac:dyDescent="0.35">
      <c r="A24" s="219" t="s">
        <v>118</v>
      </c>
      <c r="B24" s="224" t="s">
        <v>119</v>
      </c>
      <c r="C24" s="210">
        <f t="shared" si="0"/>
        <v>0</v>
      </c>
      <c r="D24" s="211">
        <f t="shared" si="0"/>
        <v>0</v>
      </c>
      <c r="E24" s="212">
        <f t="shared" si="2"/>
        <v>0</v>
      </c>
      <c r="F24" s="211">
        <f>D24-C24</f>
        <v>0</v>
      </c>
      <c r="G24" s="221"/>
      <c r="H24" s="221"/>
      <c r="I24" s="216"/>
      <c r="J24" s="216"/>
      <c r="K24" s="221"/>
      <c r="L24" s="221"/>
      <c r="M24" s="216"/>
      <c r="N24" s="216"/>
      <c r="O24" s="222">
        <v>0</v>
      </c>
      <c r="P24" s="223">
        <v>0</v>
      </c>
    </row>
    <row r="25" spans="1:16" x14ac:dyDescent="0.35">
      <c r="A25" s="219" t="s">
        <v>120</v>
      </c>
      <c r="B25" s="224" t="s">
        <v>121</v>
      </c>
      <c r="C25" s="210">
        <f t="shared" si="0"/>
        <v>98241</v>
      </c>
      <c r="D25" s="211">
        <f t="shared" si="0"/>
        <v>0</v>
      </c>
      <c r="E25" s="212">
        <f t="shared" si="2"/>
        <v>98241</v>
      </c>
      <c r="F25" s="211"/>
      <c r="G25" s="221"/>
      <c r="H25" s="221"/>
      <c r="I25" s="216"/>
      <c r="J25" s="216"/>
      <c r="K25" s="221"/>
      <c r="L25" s="221"/>
      <c r="M25" s="216"/>
      <c r="N25" s="216"/>
      <c r="O25" s="222">
        <v>98241</v>
      </c>
      <c r="P25" s="223"/>
    </row>
    <row r="26" spans="1:16" x14ac:dyDescent="0.35">
      <c r="A26" s="219" t="s">
        <v>122</v>
      </c>
      <c r="B26" s="224" t="s">
        <v>123</v>
      </c>
      <c r="C26" s="210">
        <f t="shared" si="0"/>
        <v>0</v>
      </c>
      <c r="D26" s="211">
        <f t="shared" si="0"/>
        <v>0</v>
      </c>
      <c r="E26" s="212">
        <f t="shared" si="2"/>
        <v>0</v>
      </c>
      <c r="F26" s="211">
        <v>0</v>
      </c>
      <c r="G26" s="221"/>
      <c r="H26" s="221"/>
      <c r="I26" s="216"/>
      <c r="J26" s="216"/>
      <c r="K26" s="221"/>
      <c r="L26" s="221"/>
      <c r="M26" s="216"/>
      <c r="N26" s="216"/>
      <c r="O26" s="222">
        <v>0</v>
      </c>
      <c r="P26" s="223">
        <v>0</v>
      </c>
    </row>
    <row r="27" spans="1:16" x14ac:dyDescent="0.35">
      <c r="A27" s="219" t="s">
        <v>124</v>
      </c>
      <c r="B27" s="224" t="s">
        <v>125</v>
      </c>
      <c r="C27" s="210">
        <f t="shared" si="0"/>
        <v>0</v>
      </c>
      <c r="D27" s="211">
        <f t="shared" si="0"/>
        <v>0</v>
      </c>
      <c r="E27" s="212">
        <f t="shared" si="2"/>
        <v>0</v>
      </c>
      <c r="F27" s="211"/>
      <c r="G27" s="221"/>
      <c r="H27" s="221"/>
      <c r="I27" s="216"/>
      <c r="J27" s="216"/>
      <c r="K27" s="221"/>
      <c r="L27" s="221"/>
      <c r="M27" s="216"/>
      <c r="N27" s="216"/>
      <c r="O27" s="222">
        <v>0</v>
      </c>
      <c r="P27" s="223"/>
    </row>
    <row r="28" spans="1:16" x14ac:dyDescent="0.35">
      <c r="A28" s="219" t="s">
        <v>126</v>
      </c>
      <c r="B28" s="224" t="s">
        <v>127</v>
      </c>
      <c r="C28" s="210">
        <f t="shared" si="0"/>
        <v>344415</v>
      </c>
      <c r="D28" s="211">
        <f t="shared" si="0"/>
        <v>0</v>
      </c>
      <c r="E28" s="212">
        <f t="shared" si="2"/>
        <v>344415</v>
      </c>
      <c r="F28" s="211"/>
      <c r="G28" s="221"/>
      <c r="H28" s="221"/>
      <c r="I28" s="216"/>
      <c r="J28" s="216"/>
      <c r="K28" s="221"/>
      <c r="L28" s="221"/>
      <c r="M28" s="216"/>
      <c r="N28" s="216"/>
      <c r="O28" s="222">
        <v>344415</v>
      </c>
      <c r="P28" s="223"/>
    </row>
    <row r="29" spans="1:16" x14ac:dyDescent="0.35">
      <c r="A29" s="219" t="s">
        <v>128</v>
      </c>
      <c r="B29" s="224" t="s">
        <v>129</v>
      </c>
      <c r="C29" s="210">
        <f t="shared" si="0"/>
        <v>0</v>
      </c>
      <c r="D29" s="211">
        <f t="shared" si="0"/>
        <v>0</v>
      </c>
      <c r="E29" s="212">
        <f t="shared" si="2"/>
        <v>0</v>
      </c>
      <c r="F29" s="211"/>
      <c r="G29" s="221"/>
      <c r="H29" s="221"/>
      <c r="I29" s="216"/>
      <c r="J29" s="216"/>
      <c r="K29" s="221"/>
      <c r="L29" s="221"/>
      <c r="M29" s="216"/>
      <c r="N29" s="216"/>
      <c r="O29" s="222">
        <v>0</v>
      </c>
      <c r="P29" s="223"/>
    </row>
    <row r="30" spans="1:16" x14ac:dyDescent="0.35">
      <c r="A30" s="219" t="s">
        <v>130</v>
      </c>
      <c r="B30" s="224" t="s">
        <v>131</v>
      </c>
      <c r="C30" s="210">
        <f t="shared" si="0"/>
        <v>563172.87999999989</v>
      </c>
      <c r="D30" s="211">
        <f t="shared" si="0"/>
        <v>0</v>
      </c>
      <c r="E30" s="212">
        <f t="shared" si="2"/>
        <v>563172.87999999989</v>
      </c>
      <c r="F30" s="211"/>
      <c r="G30" s="221"/>
      <c r="H30" s="221"/>
      <c r="I30" s="216"/>
      <c r="J30" s="216"/>
      <c r="K30" s="221"/>
      <c r="L30" s="221"/>
      <c r="M30" s="216"/>
      <c r="N30" s="216"/>
      <c r="O30" s="222">
        <v>563172.87999999989</v>
      </c>
      <c r="P30" s="223"/>
    </row>
    <row r="31" spans="1:16" x14ac:dyDescent="0.35">
      <c r="A31" s="219" t="s">
        <v>132</v>
      </c>
      <c r="B31" s="224" t="s">
        <v>133</v>
      </c>
      <c r="C31" s="210">
        <f t="shared" si="0"/>
        <v>1014140.01</v>
      </c>
      <c r="D31" s="211">
        <f t="shared" si="0"/>
        <v>0</v>
      </c>
      <c r="E31" s="212">
        <f t="shared" si="2"/>
        <v>1014140.01</v>
      </c>
      <c r="F31" s="211"/>
      <c r="G31" s="221"/>
      <c r="H31" s="221"/>
      <c r="I31" s="216"/>
      <c r="J31" s="216"/>
      <c r="K31" s="221"/>
      <c r="L31" s="221"/>
      <c r="M31" s="216"/>
      <c r="N31" s="216"/>
      <c r="O31" s="222">
        <v>1014140.01</v>
      </c>
      <c r="P31" s="223"/>
    </row>
    <row r="32" spans="1:16" x14ac:dyDescent="0.35">
      <c r="A32" s="219" t="s">
        <v>134</v>
      </c>
      <c r="B32" s="224" t="s">
        <v>135</v>
      </c>
      <c r="C32" s="210">
        <f t="shared" si="0"/>
        <v>351887.5</v>
      </c>
      <c r="D32" s="211">
        <f t="shared" si="0"/>
        <v>0</v>
      </c>
      <c r="E32" s="212">
        <f t="shared" si="2"/>
        <v>351887.5</v>
      </c>
      <c r="F32" s="211"/>
      <c r="G32" s="221"/>
      <c r="H32" s="221"/>
      <c r="I32" s="216"/>
      <c r="J32" s="216"/>
      <c r="K32" s="221"/>
      <c r="L32" s="221"/>
      <c r="M32" s="216"/>
      <c r="N32" s="216"/>
      <c r="O32" s="222">
        <v>351887.5</v>
      </c>
      <c r="P32" s="223"/>
    </row>
    <row r="33" spans="1:16" x14ac:dyDescent="0.35">
      <c r="A33" s="219" t="s">
        <v>136</v>
      </c>
      <c r="B33" s="224" t="s">
        <v>137</v>
      </c>
      <c r="C33" s="210">
        <f t="shared" si="0"/>
        <v>28456</v>
      </c>
      <c r="D33" s="211">
        <f t="shared" si="0"/>
        <v>0</v>
      </c>
      <c r="E33" s="212">
        <f t="shared" si="2"/>
        <v>28456</v>
      </c>
      <c r="F33" s="211"/>
      <c r="G33" s="221"/>
      <c r="H33" s="221"/>
      <c r="I33" s="216"/>
      <c r="J33" s="216"/>
      <c r="K33" s="221"/>
      <c r="L33" s="221"/>
      <c r="M33" s="216"/>
      <c r="N33" s="216"/>
      <c r="O33" s="222">
        <v>28456</v>
      </c>
      <c r="P33" s="223"/>
    </row>
    <row r="34" spans="1:16" x14ac:dyDescent="0.35">
      <c r="A34" s="219" t="s">
        <v>138</v>
      </c>
      <c r="B34" s="224" t="s">
        <v>139</v>
      </c>
      <c r="C34" s="210">
        <f t="shared" si="0"/>
        <v>0</v>
      </c>
      <c r="D34" s="211">
        <f t="shared" si="0"/>
        <v>0</v>
      </c>
      <c r="E34" s="212">
        <f t="shared" si="2"/>
        <v>0</v>
      </c>
      <c r="F34" s="211"/>
      <c r="G34" s="221"/>
      <c r="H34" s="221"/>
      <c r="I34" s="216"/>
      <c r="J34" s="216"/>
      <c r="K34" s="221"/>
      <c r="L34" s="221"/>
      <c r="M34" s="216"/>
      <c r="N34" s="216"/>
      <c r="O34" s="222">
        <v>0</v>
      </c>
      <c r="P34" s="223"/>
    </row>
    <row r="35" spans="1:16" x14ac:dyDescent="0.35">
      <c r="A35" s="219" t="s">
        <v>140</v>
      </c>
      <c r="B35" s="224" t="s">
        <v>141</v>
      </c>
      <c r="C35" s="210">
        <f t="shared" si="0"/>
        <v>4240968.75</v>
      </c>
      <c r="D35" s="211">
        <f t="shared" si="0"/>
        <v>0</v>
      </c>
      <c r="E35" s="212">
        <f t="shared" si="2"/>
        <v>4240968.75</v>
      </c>
      <c r="F35" s="211"/>
      <c r="G35" s="221"/>
      <c r="H35" s="221"/>
      <c r="I35" s="216"/>
      <c r="J35" s="216"/>
      <c r="K35" s="221"/>
      <c r="L35" s="221"/>
      <c r="M35" s="216"/>
      <c r="N35" s="216"/>
      <c r="O35" s="222">
        <v>4240968.75</v>
      </c>
      <c r="P35" s="223"/>
    </row>
    <row r="36" spans="1:16" x14ac:dyDescent="0.35">
      <c r="A36" s="219" t="s">
        <v>142</v>
      </c>
      <c r="B36" s="224" t="s">
        <v>143</v>
      </c>
      <c r="C36" s="210">
        <f t="shared" si="0"/>
        <v>1392565</v>
      </c>
      <c r="D36" s="211">
        <f t="shared" si="0"/>
        <v>0</v>
      </c>
      <c r="E36" s="212">
        <f t="shared" si="2"/>
        <v>1392565</v>
      </c>
      <c r="F36" s="211"/>
      <c r="G36" s="221"/>
      <c r="H36" s="221"/>
      <c r="I36" s="216"/>
      <c r="J36" s="216"/>
      <c r="K36" s="221"/>
      <c r="L36" s="221"/>
      <c r="M36" s="216"/>
      <c r="N36" s="216"/>
      <c r="O36" s="222">
        <v>1392565</v>
      </c>
      <c r="P36" s="223"/>
    </row>
    <row r="37" spans="1:16" x14ac:dyDescent="0.35">
      <c r="A37" t="s">
        <v>144</v>
      </c>
      <c r="B37" s="224" t="s">
        <v>145</v>
      </c>
      <c r="C37" s="210">
        <f t="shared" si="0"/>
        <v>0</v>
      </c>
      <c r="D37" s="211">
        <f t="shared" si="0"/>
        <v>0</v>
      </c>
      <c r="E37" s="212">
        <f t="shared" si="2"/>
        <v>0</v>
      </c>
      <c r="F37" s="211"/>
      <c r="G37" s="221"/>
      <c r="H37" s="221"/>
      <c r="I37" s="216"/>
      <c r="J37" s="216"/>
      <c r="K37" s="221"/>
      <c r="L37" s="221"/>
      <c r="M37" s="216"/>
      <c r="N37" s="216"/>
      <c r="O37" s="222">
        <v>0</v>
      </c>
      <c r="P37" s="223"/>
    </row>
    <row r="38" spans="1:16" x14ac:dyDescent="0.35">
      <c r="A38" s="219" t="s">
        <v>146</v>
      </c>
      <c r="B38" s="224" t="s">
        <v>147</v>
      </c>
      <c r="C38" s="210">
        <f t="shared" si="0"/>
        <v>89957</v>
      </c>
      <c r="D38" s="211">
        <f t="shared" si="0"/>
        <v>0</v>
      </c>
      <c r="E38" s="212">
        <f t="shared" si="2"/>
        <v>89957</v>
      </c>
      <c r="F38" s="211">
        <v>0</v>
      </c>
      <c r="G38" s="221"/>
      <c r="H38" s="221"/>
      <c r="I38" s="216"/>
      <c r="J38" s="216"/>
      <c r="K38" s="221"/>
      <c r="L38" s="221"/>
      <c r="M38" s="216"/>
      <c r="N38" s="216"/>
      <c r="O38" s="222">
        <v>89957</v>
      </c>
      <c r="P38" s="223">
        <v>0</v>
      </c>
    </row>
    <row r="39" spans="1:16" x14ac:dyDescent="0.35">
      <c r="A39" s="219" t="s">
        <v>148</v>
      </c>
      <c r="B39" s="224" t="s">
        <v>149</v>
      </c>
      <c r="C39" s="210">
        <f t="shared" si="0"/>
        <v>444270.00000000023</v>
      </c>
      <c r="D39" s="211">
        <f t="shared" si="0"/>
        <v>0</v>
      </c>
      <c r="E39" s="212">
        <f t="shared" si="2"/>
        <v>444270.00000000023</v>
      </c>
      <c r="F39" s="211">
        <v>0</v>
      </c>
      <c r="G39" s="221"/>
      <c r="H39" s="221"/>
      <c r="I39" s="216"/>
      <c r="J39" s="216"/>
      <c r="K39" s="221"/>
      <c r="L39" s="221"/>
      <c r="M39" s="216"/>
      <c r="N39" s="216"/>
      <c r="O39" s="222">
        <v>444270.00000000023</v>
      </c>
      <c r="P39" s="223">
        <v>0</v>
      </c>
    </row>
    <row r="40" spans="1:16" x14ac:dyDescent="0.35">
      <c r="A40" s="219" t="s">
        <v>150</v>
      </c>
      <c r="B40" s="224" t="s">
        <v>151</v>
      </c>
      <c r="C40" s="210">
        <f t="shared" si="0"/>
        <v>2857456</v>
      </c>
      <c r="D40" s="211">
        <f t="shared" si="0"/>
        <v>0</v>
      </c>
      <c r="E40" s="212">
        <f t="shared" si="2"/>
        <v>2857456</v>
      </c>
      <c r="F40" s="211"/>
      <c r="G40" s="221"/>
      <c r="H40" s="221"/>
      <c r="I40" s="216"/>
      <c r="J40" s="216"/>
      <c r="K40" s="221"/>
      <c r="L40" s="221"/>
      <c r="M40" s="216"/>
      <c r="N40" s="216"/>
      <c r="O40" s="222">
        <v>2857456</v>
      </c>
      <c r="P40" s="223"/>
    </row>
    <row r="41" spans="1:16" x14ac:dyDescent="0.35">
      <c r="A41" s="219" t="s">
        <v>152</v>
      </c>
      <c r="B41" s="224" t="s">
        <v>153</v>
      </c>
      <c r="C41" s="210">
        <f t="shared" si="0"/>
        <v>10420</v>
      </c>
      <c r="D41" s="211">
        <f t="shared" si="0"/>
        <v>0</v>
      </c>
      <c r="E41" s="212">
        <f t="shared" si="2"/>
        <v>10420</v>
      </c>
      <c r="F41" s="211"/>
      <c r="G41" s="221"/>
      <c r="H41" s="221"/>
      <c r="I41" s="216"/>
      <c r="J41" s="216"/>
      <c r="K41" s="221"/>
      <c r="L41" s="221"/>
      <c r="M41" s="216"/>
      <c r="N41" s="216"/>
      <c r="O41" s="222">
        <v>10420</v>
      </c>
      <c r="P41" s="223"/>
    </row>
    <row r="42" spans="1:16" x14ac:dyDescent="0.35">
      <c r="A42" s="219" t="s">
        <v>154</v>
      </c>
      <c r="B42" s="224" t="s">
        <v>155</v>
      </c>
      <c r="C42" s="210">
        <f t="shared" si="0"/>
        <v>0</v>
      </c>
      <c r="D42" s="211">
        <f t="shared" si="0"/>
        <v>0</v>
      </c>
      <c r="E42" s="212">
        <f t="shared" si="2"/>
        <v>0</v>
      </c>
      <c r="F42" s="211"/>
      <c r="G42" s="221"/>
      <c r="H42" s="221"/>
      <c r="I42" s="216"/>
      <c r="J42" s="216"/>
      <c r="K42" s="221"/>
      <c r="L42" s="221"/>
      <c r="M42" s="216"/>
      <c r="N42" s="216"/>
      <c r="O42" s="222">
        <v>0</v>
      </c>
      <c r="P42" s="223"/>
    </row>
    <row r="43" spans="1:16" x14ac:dyDescent="0.35">
      <c r="A43" s="228" t="s">
        <v>156</v>
      </c>
      <c r="B43" s="224" t="s">
        <v>157</v>
      </c>
      <c r="C43" s="210">
        <f t="shared" si="0"/>
        <v>0</v>
      </c>
      <c r="D43" s="211">
        <f t="shared" si="0"/>
        <v>0</v>
      </c>
      <c r="E43" s="212"/>
      <c r="F43" s="211"/>
      <c r="G43" s="221"/>
      <c r="H43" s="221"/>
      <c r="I43" s="216"/>
      <c r="J43" s="216"/>
      <c r="K43" s="221"/>
      <c r="L43" s="221"/>
      <c r="M43" s="216"/>
      <c r="N43" s="216"/>
      <c r="O43" s="222"/>
      <c r="P43" s="223"/>
    </row>
    <row r="44" spans="1:16" x14ac:dyDescent="0.35">
      <c r="A44" s="228" t="s">
        <v>158</v>
      </c>
      <c r="B44" s="224" t="s">
        <v>159</v>
      </c>
      <c r="C44" s="210">
        <f t="shared" si="0"/>
        <v>49800</v>
      </c>
      <c r="D44" s="211">
        <f t="shared" si="0"/>
        <v>0</v>
      </c>
      <c r="E44" s="212">
        <f t="shared" si="2"/>
        <v>49800</v>
      </c>
      <c r="F44" s="211"/>
      <c r="G44" s="221"/>
      <c r="H44" s="221"/>
      <c r="I44" s="216"/>
      <c r="J44" s="216"/>
      <c r="K44" s="221"/>
      <c r="L44" s="221"/>
      <c r="M44" s="216"/>
      <c r="N44" s="216"/>
      <c r="O44" s="222">
        <v>49800</v>
      </c>
      <c r="P44" s="223"/>
    </row>
    <row r="45" spans="1:16" x14ac:dyDescent="0.35">
      <c r="A45" s="219" t="s">
        <v>160</v>
      </c>
      <c r="B45" s="224" t="s">
        <v>161</v>
      </c>
      <c r="C45" s="210">
        <f t="shared" si="0"/>
        <v>1578790</v>
      </c>
      <c r="D45" s="211">
        <f t="shared" si="0"/>
        <v>0</v>
      </c>
      <c r="E45" s="212">
        <f t="shared" si="2"/>
        <v>1578790</v>
      </c>
      <c r="F45" s="211"/>
      <c r="G45" s="221"/>
      <c r="H45" s="221"/>
      <c r="I45" s="216"/>
      <c r="J45" s="216"/>
      <c r="K45" s="221"/>
      <c r="L45" s="221"/>
      <c r="M45" s="216"/>
      <c r="N45" s="216"/>
      <c r="O45" s="222">
        <v>1578790</v>
      </c>
      <c r="P45" s="223"/>
    </row>
    <row r="46" spans="1:16" x14ac:dyDescent="0.35">
      <c r="A46" s="219" t="s">
        <v>162</v>
      </c>
      <c r="B46" s="224" t="s">
        <v>163</v>
      </c>
      <c r="C46" s="210">
        <f t="shared" si="0"/>
        <v>311965</v>
      </c>
      <c r="D46" s="211">
        <f t="shared" si="0"/>
        <v>0</v>
      </c>
      <c r="E46" s="212">
        <f t="shared" si="2"/>
        <v>311965</v>
      </c>
      <c r="F46" s="211"/>
      <c r="G46" s="221"/>
      <c r="H46" s="221"/>
      <c r="I46" s="216"/>
      <c r="J46" s="216"/>
      <c r="K46" s="221"/>
      <c r="L46" s="221"/>
      <c r="M46" s="216"/>
      <c r="N46" s="216"/>
      <c r="O46" s="222">
        <v>311965</v>
      </c>
      <c r="P46" s="223"/>
    </row>
    <row r="47" spans="1:16" x14ac:dyDescent="0.35">
      <c r="A47" s="219" t="s">
        <v>164</v>
      </c>
      <c r="B47" s="224" t="s">
        <v>165</v>
      </c>
      <c r="C47" s="210">
        <f t="shared" si="0"/>
        <v>1567321.1900000002</v>
      </c>
      <c r="D47" s="211">
        <f t="shared" si="0"/>
        <v>0</v>
      </c>
      <c r="E47" s="212">
        <f t="shared" si="2"/>
        <v>1567321.1900000002</v>
      </c>
      <c r="F47" s="211"/>
      <c r="G47" s="221"/>
      <c r="H47" s="221"/>
      <c r="I47" s="216"/>
      <c r="J47" s="216"/>
      <c r="K47" s="221"/>
      <c r="L47" s="221"/>
      <c r="M47" s="216"/>
      <c r="N47" s="216"/>
      <c r="O47" s="222">
        <v>1567321.1900000002</v>
      </c>
      <c r="P47" s="223"/>
    </row>
    <row r="48" spans="1:16" x14ac:dyDescent="0.35">
      <c r="A48" s="219" t="s">
        <v>166</v>
      </c>
      <c r="B48" s="224" t="s">
        <v>167</v>
      </c>
      <c r="C48" s="210">
        <f t="shared" si="0"/>
        <v>0</v>
      </c>
      <c r="D48" s="211">
        <f t="shared" si="0"/>
        <v>0</v>
      </c>
      <c r="E48" s="212">
        <f t="shared" si="2"/>
        <v>0</v>
      </c>
      <c r="F48" s="211"/>
      <c r="G48" s="221"/>
      <c r="H48" s="221"/>
      <c r="I48" s="216"/>
      <c r="J48" s="216"/>
      <c r="K48" s="221"/>
      <c r="L48" s="221"/>
      <c r="M48" s="216"/>
      <c r="N48" s="216"/>
      <c r="O48" s="222">
        <v>0</v>
      </c>
      <c r="P48" s="223"/>
    </row>
    <row r="49" spans="1:16" x14ac:dyDescent="0.35">
      <c r="A49" s="219" t="s">
        <v>168</v>
      </c>
      <c r="B49" s="224" t="s">
        <v>169</v>
      </c>
      <c r="C49" s="210">
        <f t="shared" si="0"/>
        <v>200574.44999999998</v>
      </c>
      <c r="D49" s="211">
        <f t="shared" si="0"/>
        <v>0</v>
      </c>
      <c r="E49" s="212">
        <f t="shared" si="2"/>
        <v>200574.44999999998</v>
      </c>
      <c r="F49" s="211"/>
      <c r="G49" s="221"/>
      <c r="H49" s="221"/>
      <c r="I49" s="216"/>
      <c r="J49" s="216"/>
      <c r="K49" s="221"/>
      <c r="L49" s="221"/>
      <c r="M49" s="216"/>
      <c r="N49" s="216"/>
      <c r="O49" s="222">
        <v>200574.44999999998</v>
      </c>
      <c r="P49" s="223"/>
    </row>
    <row r="50" spans="1:16" x14ac:dyDescent="0.35">
      <c r="A50" s="219" t="s">
        <v>170</v>
      </c>
      <c r="B50" s="224" t="s">
        <v>171</v>
      </c>
      <c r="C50" s="210">
        <f t="shared" si="0"/>
        <v>499694.26</v>
      </c>
      <c r="D50" s="211">
        <f t="shared" si="0"/>
        <v>0</v>
      </c>
      <c r="E50" s="212">
        <f t="shared" si="2"/>
        <v>499694.26</v>
      </c>
      <c r="F50" s="211"/>
      <c r="G50" s="221"/>
      <c r="H50" s="221"/>
      <c r="I50" s="216"/>
      <c r="J50" s="216"/>
      <c r="K50" s="221"/>
      <c r="L50" s="221"/>
      <c r="M50" s="216"/>
      <c r="N50" s="216"/>
      <c r="O50" s="222">
        <v>499694.26</v>
      </c>
      <c r="P50" s="223"/>
    </row>
    <row r="51" spans="1:16" x14ac:dyDescent="0.35">
      <c r="A51" s="219" t="s">
        <v>172</v>
      </c>
      <c r="B51" s="224" t="s">
        <v>173</v>
      </c>
      <c r="C51" s="210">
        <f t="shared" si="0"/>
        <v>421564.04000000004</v>
      </c>
      <c r="D51" s="211">
        <f t="shared" si="0"/>
        <v>0</v>
      </c>
      <c r="E51" s="212">
        <f t="shared" si="2"/>
        <v>421564.04000000004</v>
      </c>
      <c r="F51" s="211"/>
      <c r="G51" s="221"/>
      <c r="H51" s="221"/>
      <c r="I51" s="216"/>
      <c r="J51" s="216"/>
      <c r="K51" s="221"/>
      <c r="L51" s="221"/>
      <c r="M51" s="216"/>
      <c r="N51" s="216"/>
      <c r="O51" s="222">
        <v>421564.04000000004</v>
      </c>
      <c r="P51" s="223"/>
    </row>
    <row r="52" spans="1:16" x14ac:dyDescent="0.35">
      <c r="A52" s="229" t="s">
        <v>174</v>
      </c>
      <c r="B52" s="224" t="s">
        <v>175</v>
      </c>
      <c r="C52" s="210">
        <f t="shared" si="0"/>
        <v>13737958.23</v>
      </c>
      <c r="D52" s="211">
        <f t="shared" si="0"/>
        <v>0</v>
      </c>
      <c r="E52" s="212">
        <f t="shared" si="2"/>
        <v>13737958.23</v>
      </c>
      <c r="F52" s="211"/>
      <c r="G52" s="221"/>
      <c r="H52" s="221"/>
      <c r="I52" s="216"/>
      <c r="J52" s="216"/>
      <c r="K52" s="221"/>
      <c r="L52" s="221"/>
      <c r="M52" s="216"/>
      <c r="N52" s="216"/>
      <c r="O52" s="222">
        <v>13737958.23</v>
      </c>
      <c r="P52" s="223"/>
    </row>
    <row r="53" spans="1:16" x14ac:dyDescent="0.35">
      <c r="A53" s="229" t="s">
        <v>176</v>
      </c>
      <c r="B53" s="224" t="s">
        <v>177</v>
      </c>
      <c r="C53" s="210">
        <f t="shared" si="0"/>
        <v>33667247.200000003</v>
      </c>
      <c r="D53" s="211">
        <f t="shared" si="0"/>
        <v>0</v>
      </c>
      <c r="E53" s="212">
        <f t="shared" si="2"/>
        <v>33667247.200000003</v>
      </c>
      <c r="F53" s="211"/>
      <c r="G53" s="221"/>
      <c r="H53" s="221"/>
      <c r="I53" s="216"/>
      <c r="J53" s="216"/>
      <c r="K53" s="221"/>
      <c r="L53" s="221"/>
      <c r="M53" s="216"/>
      <c r="N53" s="216"/>
      <c r="O53" s="222">
        <v>33667247.200000003</v>
      </c>
      <c r="P53" s="223"/>
    </row>
    <row r="54" spans="1:16" x14ac:dyDescent="0.35">
      <c r="A54" s="229" t="s">
        <v>178</v>
      </c>
      <c r="B54" s="224" t="s">
        <v>179</v>
      </c>
      <c r="C54" s="210">
        <f t="shared" si="0"/>
        <v>4626453.62</v>
      </c>
      <c r="D54" s="211">
        <f t="shared" si="0"/>
        <v>0</v>
      </c>
      <c r="E54" s="212">
        <f t="shared" si="2"/>
        <v>4626453.62</v>
      </c>
      <c r="F54" s="211"/>
      <c r="G54" s="221"/>
      <c r="H54" s="221"/>
      <c r="I54" s="216"/>
      <c r="J54" s="216"/>
      <c r="K54" s="221"/>
      <c r="L54" s="221"/>
      <c r="M54" s="216"/>
      <c r="N54" s="216"/>
      <c r="O54" s="222">
        <v>4626453.62</v>
      </c>
      <c r="P54" s="223"/>
    </row>
    <row r="55" spans="1:16" x14ac:dyDescent="0.35">
      <c r="A55" s="229" t="s">
        <v>180</v>
      </c>
      <c r="B55" s="224" t="s">
        <v>181</v>
      </c>
      <c r="C55" s="210">
        <f t="shared" si="0"/>
        <v>0</v>
      </c>
      <c r="D55" s="211">
        <f t="shared" si="0"/>
        <v>2278379.9999999981</v>
      </c>
      <c r="E55" s="212"/>
      <c r="F55" s="211">
        <f>D55-C55</f>
        <v>2278379.9999999981</v>
      </c>
      <c r="G55" s="221"/>
      <c r="H55" s="221">
        <v>26546.61</v>
      </c>
      <c r="I55" s="216"/>
      <c r="J55" s="216"/>
      <c r="K55" s="221"/>
      <c r="L55" s="221"/>
      <c r="M55" s="216"/>
      <c r="N55" s="216"/>
      <c r="O55" s="222"/>
      <c r="P55" s="223">
        <v>2251833.3899999983</v>
      </c>
    </row>
    <row r="56" spans="1:16" x14ac:dyDescent="0.35">
      <c r="A56" s="229" t="s">
        <v>182</v>
      </c>
      <c r="B56" s="224" t="s">
        <v>183</v>
      </c>
      <c r="C56" s="210">
        <f t="shared" si="0"/>
        <v>60220331.729999997</v>
      </c>
      <c r="D56" s="211">
        <f t="shared" si="0"/>
        <v>0</v>
      </c>
      <c r="E56" s="212">
        <f>C56-D56</f>
        <v>60220331.729999997</v>
      </c>
      <c r="F56" s="211"/>
      <c r="G56" s="221"/>
      <c r="H56" s="221"/>
      <c r="I56" s="216"/>
      <c r="J56" s="216"/>
      <c r="K56" s="221"/>
      <c r="L56" s="221"/>
      <c r="M56" s="216"/>
      <c r="N56" s="216"/>
      <c r="O56" s="222">
        <v>60220331.729999997</v>
      </c>
      <c r="P56" s="223"/>
    </row>
    <row r="57" spans="1:16" x14ac:dyDescent="0.35">
      <c r="A57" s="229" t="s">
        <v>184</v>
      </c>
      <c r="B57" s="224" t="s">
        <v>185</v>
      </c>
      <c r="C57" s="210">
        <f t="shared" si="0"/>
        <v>0</v>
      </c>
      <c r="D57" s="211">
        <f t="shared" si="0"/>
        <v>28846596.89000003</v>
      </c>
      <c r="E57" s="212"/>
      <c r="F57" s="211">
        <f>D57-C57</f>
        <v>28846596.89000003</v>
      </c>
      <c r="G57" s="221"/>
      <c r="H57" s="221">
        <v>351374.71</v>
      </c>
      <c r="I57" s="216"/>
      <c r="J57" s="216"/>
      <c r="K57" s="221"/>
      <c r="L57" s="221"/>
      <c r="M57" s="216"/>
      <c r="N57" s="216"/>
      <c r="O57" s="222"/>
      <c r="P57" s="223">
        <v>28495222.18000003</v>
      </c>
    </row>
    <row r="58" spans="1:16" x14ac:dyDescent="0.35">
      <c r="A58" s="229" t="s">
        <v>186</v>
      </c>
      <c r="B58" s="224" t="s">
        <v>187</v>
      </c>
      <c r="C58" s="210">
        <f t="shared" si="0"/>
        <v>30599389.689999998</v>
      </c>
      <c r="D58" s="211">
        <f t="shared" si="0"/>
        <v>0</v>
      </c>
      <c r="E58" s="212">
        <f>C58-D58</f>
        <v>30599389.689999998</v>
      </c>
      <c r="F58" s="211"/>
      <c r="G58" s="221"/>
      <c r="H58" s="221"/>
      <c r="I58" s="216"/>
      <c r="J58" s="216"/>
      <c r="K58" s="221"/>
      <c r="L58" s="221"/>
      <c r="M58" s="216"/>
      <c r="N58" s="216"/>
      <c r="O58" s="222">
        <v>30599389.689999998</v>
      </c>
      <c r="P58" s="223"/>
    </row>
    <row r="59" spans="1:16" x14ac:dyDescent="0.35">
      <c r="A59" s="229" t="s">
        <v>188</v>
      </c>
      <c r="B59" s="224" t="s">
        <v>189</v>
      </c>
      <c r="C59" s="210">
        <f t="shared" si="0"/>
        <v>0</v>
      </c>
      <c r="D59" s="211">
        <f t="shared" si="0"/>
        <v>21332859.500000015</v>
      </c>
      <c r="E59" s="212"/>
      <c r="F59" s="211">
        <f>D59-C59</f>
        <v>21332859.500000015</v>
      </c>
      <c r="G59" s="221"/>
      <c r="H59" s="221">
        <v>167329.87</v>
      </c>
      <c r="I59" s="216"/>
      <c r="J59" s="216"/>
      <c r="K59" s="221"/>
      <c r="L59" s="221"/>
      <c r="M59" s="216"/>
      <c r="N59" s="216"/>
      <c r="O59" s="222"/>
      <c r="P59" s="223">
        <v>21165529.630000014</v>
      </c>
    </row>
    <row r="60" spans="1:16" x14ac:dyDescent="0.35">
      <c r="A60" s="226" t="s">
        <v>190</v>
      </c>
      <c r="B60" s="224" t="s">
        <v>191</v>
      </c>
      <c r="C60" s="210">
        <f t="shared" si="0"/>
        <v>223012.02</v>
      </c>
      <c r="D60" s="211">
        <f t="shared" si="0"/>
        <v>0</v>
      </c>
      <c r="E60" s="212">
        <f>C60-D60</f>
        <v>223012.02</v>
      </c>
      <c r="F60" s="211"/>
      <c r="G60" s="221"/>
      <c r="H60" s="221"/>
      <c r="I60" s="216"/>
      <c r="J60" s="216"/>
      <c r="K60" s="221"/>
      <c r="L60" s="221"/>
      <c r="M60" s="216"/>
      <c r="N60" s="216"/>
      <c r="O60" s="222">
        <v>223012.02</v>
      </c>
      <c r="P60" s="223"/>
    </row>
    <row r="61" spans="1:16" x14ac:dyDescent="0.35">
      <c r="A61" s="229" t="s">
        <v>192</v>
      </c>
      <c r="B61" s="224" t="s">
        <v>193</v>
      </c>
      <c r="C61" s="210">
        <f t="shared" si="0"/>
        <v>0</v>
      </c>
      <c r="D61" s="211">
        <f t="shared" si="0"/>
        <v>221123.86999999965</v>
      </c>
      <c r="E61" s="212"/>
      <c r="F61" s="211">
        <f>D61-C61</f>
        <v>221123.86999999965</v>
      </c>
      <c r="G61" s="221"/>
      <c r="H61" s="221">
        <v>842.05</v>
      </c>
      <c r="I61" s="216"/>
      <c r="J61" s="216"/>
      <c r="K61" s="221"/>
      <c r="L61" s="221"/>
      <c r="M61" s="216"/>
      <c r="N61" s="216"/>
      <c r="O61" s="222"/>
      <c r="P61" s="223">
        <v>220281.81999999966</v>
      </c>
    </row>
    <row r="62" spans="1:16" x14ac:dyDescent="0.35">
      <c r="A62" s="229" t="s">
        <v>194</v>
      </c>
      <c r="B62" s="230" t="s">
        <v>195</v>
      </c>
      <c r="C62" s="210">
        <f t="shared" si="0"/>
        <v>25506771.669999998</v>
      </c>
      <c r="D62" s="211">
        <f t="shared" si="0"/>
        <v>0</v>
      </c>
      <c r="E62" s="212">
        <f>C62-D62</f>
        <v>25506771.669999998</v>
      </c>
      <c r="F62" s="211"/>
      <c r="G62" s="221"/>
      <c r="H62" s="221"/>
      <c r="I62" s="216"/>
      <c r="J62" s="216"/>
      <c r="K62" s="221"/>
      <c r="L62" s="221"/>
      <c r="M62" s="216"/>
      <c r="N62" s="216"/>
      <c r="O62" s="222">
        <v>25506771.669999998</v>
      </c>
      <c r="P62" s="223"/>
    </row>
    <row r="63" spans="1:16" x14ac:dyDescent="0.35">
      <c r="A63" s="229" t="s">
        <v>196</v>
      </c>
      <c r="B63" s="230" t="s">
        <v>197</v>
      </c>
      <c r="C63" s="210">
        <f t="shared" si="0"/>
        <v>0</v>
      </c>
      <c r="D63" s="211">
        <f t="shared" si="0"/>
        <v>16209390.589999972</v>
      </c>
      <c r="E63" s="212"/>
      <c r="F63" s="211">
        <f>D63-C63</f>
        <v>16209390.589999972</v>
      </c>
      <c r="G63" s="221"/>
      <c r="H63" s="221">
        <v>156693.53</v>
      </c>
      <c r="I63" s="216"/>
      <c r="J63" s="216"/>
      <c r="K63" s="221"/>
      <c r="L63" s="221"/>
      <c r="M63" s="216"/>
      <c r="N63" s="216"/>
      <c r="O63" s="222"/>
      <c r="P63" s="223">
        <v>16052697.059999973</v>
      </c>
    </row>
    <row r="64" spans="1:16" x14ac:dyDescent="0.35">
      <c r="A64" s="229" t="s">
        <v>198</v>
      </c>
      <c r="B64" s="230" t="s">
        <v>199</v>
      </c>
      <c r="C64" s="210">
        <f t="shared" si="0"/>
        <v>7012135.2800000003</v>
      </c>
      <c r="D64" s="211">
        <f t="shared" si="0"/>
        <v>0</v>
      </c>
      <c r="E64" s="212">
        <f>C64-D64</f>
        <v>7012135.2800000003</v>
      </c>
      <c r="F64" s="211"/>
      <c r="G64" s="221"/>
      <c r="H64" s="221"/>
      <c r="I64" s="216"/>
      <c r="J64" s="216"/>
      <c r="K64" s="221"/>
      <c r="L64" s="221"/>
      <c r="M64" s="216"/>
      <c r="N64" s="216"/>
      <c r="O64" s="222">
        <v>7012135.2800000003</v>
      </c>
      <c r="P64" s="223"/>
    </row>
    <row r="65" spans="1:16" x14ac:dyDescent="0.35">
      <c r="A65" s="229" t="s">
        <v>200</v>
      </c>
      <c r="B65" s="230" t="s">
        <v>201</v>
      </c>
      <c r="C65" s="210">
        <f t="shared" si="0"/>
        <v>0</v>
      </c>
      <c r="D65" s="211">
        <f t="shared" si="0"/>
        <v>3957808.0900000045</v>
      </c>
      <c r="E65" s="212"/>
      <c r="F65" s="211">
        <f>D65-C65</f>
        <v>3957808.0900000045</v>
      </c>
      <c r="G65" s="221"/>
      <c r="H65" s="221">
        <v>53921.85</v>
      </c>
      <c r="I65" s="216"/>
      <c r="J65" s="216"/>
      <c r="K65" s="221"/>
      <c r="L65" s="221"/>
      <c r="M65" s="216"/>
      <c r="N65" s="216"/>
      <c r="O65" s="222"/>
      <c r="P65" s="223">
        <v>3903886.2400000044</v>
      </c>
    </row>
    <row r="66" spans="1:16" x14ac:dyDescent="0.35">
      <c r="A66" s="226" t="s">
        <v>202</v>
      </c>
      <c r="B66" s="230" t="s">
        <v>203</v>
      </c>
      <c r="C66" s="210">
        <f t="shared" si="0"/>
        <v>18290755.850000001</v>
      </c>
      <c r="D66" s="211">
        <f t="shared" si="0"/>
        <v>0</v>
      </c>
      <c r="E66" s="212">
        <f>C66-D66</f>
        <v>18290755.850000001</v>
      </c>
      <c r="F66" s="211"/>
      <c r="G66" s="221"/>
      <c r="H66" s="221"/>
      <c r="I66" s="216"/>
      <c r="J66" s="216"/>
      <c r="K66" s="221"/>
      <c r="L66" s="221"/>
      <c r="M66" s="216"/>
      <c r="N66" s="216"/>
      <c r="O66" s="222">
        <v>18290755.850000001</v>
      </c>
      <c r="P66" s="223"/>
    </row>
    <row r="67" spans="1:16" x14ac:dyDescent="0.35">
      <c r="A67" s="229" t="s">
        <v>204</v>
      </c>
      <c r="B67" s="230" t="s">
        <v>205</v>
      </c>
      <c r="C67" s="210">
        <f t="shared" si="0"/>
        <v>0</v>
      </c>
      <c r="D67" s="211">
        <f t="shared" si="0"/>
        <v>6878086.4500000058</v>
      </c>
      <c r="E67" s="212"/>
      <c r="F67" s="211">
        <f>D67-C67</f>
        <v>6878086.4500000058</v>
      </c>
      <c r="G67" s="221"/>
      <c r="H67" s="221">
        <v>72400.91</v>
      </c>
      <c r="I67" s="216"/>
      <c r="J67" s="216"/>
      <c r="K67" s="221"/>
      <c r="L67" s="221"/>
      <c r="M67" s="216"/>
      <c r="N67" s="216"/>
      <c r="O67" s="222"/>
      <c r="P67" s="223">
        <v>6805685.5400000056</v>
      </c>
    </row>
    <row r="68" spans="1:16" x14ac:dyDescent="0.35">
      <c r="A68" s="229" t="s">
        <v>206</v>
      </c>
      <c r="B68" s="230" t="s">
        <v>207</v>
      </c>
      <c r="C68" s="210">
        <f t="shared" si="0"/>
        <v>29017825.77</v>
      </c>
      <c r="D68" s="211">
        <f t="shared" si="0"/>
        <v>0</v>
      </c>
      <c r="E68" s="212">
        <f>C68-D68</f>
        <v>29017825.77</v>
      </c>
      <c r="F68" s="211"/>
      <c r="G68" s="221"/>
      <c r="H68" s="221"/>
      <c r="I68" s="216"/>
      <c r="J68" s="216"/>
      <c r="K68" s="221"/>
      <c r="L68" s="221"/>
      <c r="M68" s="216"/>
      <c r="N68" s="216"/>
      <c r="O68" s="222">
        <v>29017825.77</v>
      </c>
      <c r="P68" s="223"/>
    </row>
    <row r="69" spans="1:16" x14ac:dyDescent="0.35">
      <c r="A69" s="229" t="s">
        <v>208</v>
      </c>
      <c r="B69" s="230" t="s">
        <v>209</v>
      </c>
      <c r="C69" s="210">
        <f t="shared" si="0"/>
        <v>0</v>
      </c>
      <c r="D69" s="211">
        <f t="shared" si="0"/>
        <v>7417675.0300000003</v>
      </c>
      <c r="E69" s="212"/>
      <c r="F69" s="211">
        <f>D69-C69</f>
        <v>7417675.0300000003</v>
      </c>
      <c r="G69" s="221"/>
      <c r="H69" s="221">
        <v>69271.16</v>
      </c>
      <c r="I69" s="216"/>
      <c r="J69" s="216"/>
      <c r="K69" s="221"/>
      <c r="L69" s="221"/>
      <c r="M69" s="216"/>
      <c r="N69" s="216"/>
      <c r="O69" s="222"/>
      <c r="P69" s="223">
        <v>7348403.8700000001</v>
      </c>
    </row>
    <row r="70" spans="1:16" x14ac:dyDescent="0.35">
      <c r="A70" s="229" t="s">
        <v>210</v>
      </c>
      <c r="B70" s="230" t="s">
        <v>211</v>
      </c>
      <c r="C70" s="210">
        <f t="shared" si="0"/>
        <v>12892113.630000001</v>
      </c>
      <c r="D70" s="211">
        <f t="shared" si="0"/>
        <v>0</v>
      </c>
      <c r="E70" s="212">
        <f>C70-D70</f>
        <v>12892113.630000001</v>
      </c>
      <c r="F70" s="211"/>
      <c r="G70" s="221"/>
      <c r="H70" s="221"/>
      <c r="I70" s="216"/>
      <c r="J70" s="216"/>
      <c r="K70" s="221"/>
      <c r="L70" s="221"/>
      <c r="M70" s="216"/>
      <c r="N70" s="216"/>
      <c r="O70" s="222">
        <v>12892113.630000001</v>
      </c>
      <c r="P70" s="223"/>
    </row>
    <row r="71" spans="1:16" x14ac:dyDescent="0.35">
      <c r="A71" s="229" t="s">
        <v>212</v>
      </c>
      <c r="B71" s="230" t="s">
        <v>213</v>
      </c>
      <c r="C71" s="210">
        <f t="shared" si="0"/>
        <v>0</v>
      </c>
      <c r="D71" s="211">
        <f t="shared" si="0"/>
        <v>10519570.840000002</v>
      </c>
      <c r="E71" s="212"/>
      <c r="F71" s="211">
        <f>D71-C71</f>
        <v>10519570.840000002</v>
      </c>
      <c r="G71" s="221"/>
      <c r="H71" s="221">
        <v>89908.06</v>
      </c>
      <c r="I71" s="216"/>
      <c r="J71" s="216"/>
      <c r="K71" s="221"/>
      <c r="L71" s="221"/>
      <c r="M71" s="216"/>
      <c r="N71" s="216"/>
      <c r="O71" s="222"/>
      <c r="P71" s="223">
        <v>10429662.780000001</v>
      </c>
    </row>
    <row r="72" spans="1:16" x14ac:dyDescent="0.35">
      <c r="A72" s="229" t="s">
        <v>214</v>
      </c>
      <c r="B72" s="224" t="s">
        <v>215</v>
      </c>
      <c r="C72" s="210">
        <f t="shared" si="0"/>
        <v>100895991.47</v>
      </c>
      <c r="D72" s="211">
        <f t="shared" si="0"/>
        <v>0</v>
      </c>
      <c r="E72" s="212">
        <f>C72-D72</f>
        <v>100895991.47</v>
      </c>
      <c r="F72" s="211"/>
      <c r="G72" s="221"/>
      <c r="H72" s="221"/>
      <c r="I72" s="216"/>
      <c r="J72" s="216"/>
      <c r="K72" s="221"/>
      <c r="L72" s="221"/>
      <c r="M72" s="216"/>
      <c r="N72" s="216"/>
      <c r="O72" s="222">
        <v>100895991.47</v>
      </c>
      <c r="P72" s="223"/>
    </row>
    <row r="73" spans="1:16" x14ac:dyDescent="0.35">
      <c r="A73" s="229" t="s">
        <v>216</v>
      </c>
      <c r="B73" s="224" t="s">
        <v>217</v>
      </c>
      <c r="C73" s="210">
        <f t="shared" ref="C73:D136" si="3">G73+O73+I73+K73+M73</f>
        <v>0</v>
      </c>
      <c r="D73" s="211">
        <f t="shared" si="3"/>
        <v>22928659.370000005</v>
      </c>
      <c r="E73" s="212"/>
      <c r="F73" s="211">
        <f>D73-C73</f>
        <v>22928659.370000005</v>
      </c>
      <c r="G73" s="221"/>
      <c r="H73" s="221">
        <v>266306.92</v>
      </c>
      <c r="I73" s="216"/>
      <c r="J73" s="216"/>
      <c r="K73" s="221"/>
      <c r="L73" s="221"/>
      <c r="M73" s="216"/>
      <c r="N73" s="216"/>
      <c r="O73" s="222"/>
      <c r="P73" s="223">
        <v>22662352.450000003</v>
      </c>
    </row>
    <row r="74" spans="1:16" x14ac:dyDescent="0.35">
      <c r="A74" s="229" t="s">
        <v>218</v>
      </c>
      <c r="B74" s="224" t="s">
        <v>219</v>
      </c>
      <c r="C74" s="210">
        <f t="shared" si="3"/>
        <v>1987732.44</v>
      </c>
      <c r="D74" s="211">
        <f t="shared" si="3"/>
        <v>0</v>
      </c>
      <c r="E74" s="212">
        <f>C74-D74</f>
        <v>1987732.44</v>
      </c>
      <c r="F74" s="211"/>
      <c r="G74" s="221"/>
      <c r="H74" s="221"/>
      <c r="I74" s="216"/>
      <c r="J74" s="216"/>
      <c r="K74" s="221"/>
      <c r="L74" s="221"/>
      <c r="M74" s="216"/>
      <c r="N74" s="216"/>
      <c r="O74" s="222">
        <v>1987732.44</v>
      </c>
      <c r="P74" s="223"/>
    </row>
    <row r="75" spans="1:16" x14ac:dyDescent="0.35">
      <c r="A75" s="229" t="s">
        <v>220</v>
      </c>
      <c r="B75" s="224" t="s">
        <v>221</v>
      </c>
      <c r="C75" s="210">
        <f t="shared" si="3"/>
        <v>0</v>
      </c>
      <c r="D75" s="211">
        <f t="shared" si="3"/>
        <v>1683903.5499999996</v>
      </c>
      <c r="E75" s="212"/>
      <c r="F75" s="211">
        <f>D75-C75</f>
        <v>1683903.5499999996</v>
      </c>
      <c r="G75" s="221"/>
      <c r="H75" s="221">
        <v>2463.9899999999998</v>
      </c>
      <c r="I75" s="216"/>
      <c r="J75" s="216"/>
      <c r="K75" s="221"/>
      <c r="L75" s="221"/>
      <c r="M75" s="216"/>
      <c r="N75" s="216"/>
      <c r="O75" s="222"/>
      <c r="P75" s="223">
        <v>1681439.5599999996</v>
      </c>
    </row>
    <row r="76" spans="1:16" x14ac:dyDescent="0.35">
      <c r="A76" s="229" t="s">
        <v>222</v>
      </c>
      <c r="B76" s="224" t="s">
        <v>223</v>
      </c>
      <c r="C76" s="210">
        <f t="shared" si="3"/>
        <v>19447807.059999999</v>
      </c>
      <c r="D76" s="211">
        <f t="shared" si="3"/>
        <v>0</v>
      </c>
      <c r="E76" s="212">
        <f>C76-D76</f>
        <v>19447807.059999999</v>
      </c>
      <c r="F76" s="211"/>
      <c r="G76" s="221"/>
      <c r="H76" s="221"/>
      <c r="I76" s="216"/>
      <c r="J76" s="216"/>
      <c r="K76" s="221"/>
      <c r="L76" s="221"/>
      <c r="M76" s="216"/>
      <c r="N76" s="216"/>
      <c r="O76" s="222">
        <v>19447807.059999999</v>
      </c>
      <c r="P76" s="223"/>
    </row>
    <row r="77" spans="1:16" x14ac:dyDescent="0.35">
      <c r="A77" s="229" t="s">
        <v>224</v>
      </c>
      <c r="B77" s="224" t="s">
        <v>225</v>
      </c>
      <c r="C77" s="210">
        <f t="shared" si="3"/>
        <v>0</v>
      </c>
      <c r="D77" s="211">
        <f t="shared" si="3"/>
        <v>5026469.6899999892</v>
      </c>
      <c r="E77" s="212"/>
      <c r="F77" s="211">
        <f>D77-C77</f>
        <v>5026469.6899999892</v>
      </c>
      <c r="G77" s="221"/>
      <c r="H77" s="221">
        <v>42590.27</v>
      </c>
      <c r="I77" s="216"/>
      <c r="J77" s="216"/>
      <c r="K77" s="221"/>
      <c r="L77" s="221"/>
      <c r="M77" s="216"/>
      <c r="N77" s="216"/>
      <c r="O77" s="222"/>
      <c r="P77" s="223">
        <v>4983879.4199999897</v>
      </c>
    </row>
    <row r="78" spans="1:16" x14ac:dyDescent="0.35">
      <c r="A78" s="229" t="s">
        <v>226</v>
      </c>
      <c r="B78" s="224" t="s">
        <v>227</v>
      </c>
      <c r="C78" s="210">
        <f t="shared" si="3"/>
        <v>40875968.18</v>
      </c>
      <c r="D78" s="211">
        <f t="shared" si="3"/>
        <v>0</v>
      </c>
      <c r="E78" s="212">
        <f>C78-D78</f>
        <v>40875968.18</v>
      </c>
      <c r="F78" s="211"/>
      <c r="G78" s="221"/>
      <c r="H78" s="221"/>
      <c r="I78" s="216"/>
      <c r="J78" s="216"/>
      <c r="K78" s="221"/>
      <c r="L78" s="221"/>
      <c r="M78" s="216"/>
      <c r="N78" s="216"/>
      <c r="O78" s="222">
        <v>40875968.18</v>
      </c>
      <c r="P78" s="223"/>
    </row>
    <row r="79" spans="1:16" x14ac:dyDescent="0.35">
      <c r="A79" s="229" t="s">
        <v>228</v>
      </c>
      <c r="B79" s="224" t="s">
        <v>229</v>
      </c>
      <c r="C79" s="210">
        <f t="shared" si="3"/>
        <v>0</v>
      </c>
      <c r="D79" s="211">
        <f t="shared" si="3"/>
        <v>11462106.779999992</v>
      </c>
      <c r="E79" s="212"/>
      <c r="F79" s="211">
        <f>D79-C79</f>
        <v>11462106.779999992</v>
      </c>
      <c r="G79" s="221"/>
      <c r="H79" s="221">
        <v>109106.02</v>
      </c>
      <c r="I79" s="216"/>
      <c r="J79" s="216"/>
      <c r="K79" s="221"/>
      <c r="L79" s="221"/>
      <c r="M79" s="216"/>
      <c r="N79" s="216"/>
      <c r="O79" s="222"/>
      <c r="P79" s="223">
        <v>11353000.759999992</v>
      </c>
    </row>
    <row r="80" spans="1:16" x14ac:dyDescent="0.35">
      <c r="A80" s="229" t="s">
        <v>230</v>
      </c>
      <c r="B80" s="224" t="s">
        <v>231</v>
      </c>
      <c r="C80" s="210">
        <f t="shared" si="3"/>
        <v>10232131.550000001</v>
      </c>
      <c r="D80" s="211">
        <f t="shared" si="3"/>
        <v>0</v>
      </c>
      <c r="E80" s="212">
        <f>C80-D80</f>
        <v>10232131.550000001</v>
      </c>
      <c r="F80" s="211"/>
      <c r="G80" s="221"/>
      <c r="H80" s="221"/>
      <c r="I80" s="216"/>
      <c r="J80" s="216"/>
      <c r="K80" s="221"/>
      <c r="L80" s="221"/>
      <c r="M80" s="216"/>
      <c r="N80" s="216"/>
      <c r="O80" s="222">
        <v>10232131.550000001</v>
      </c>
      <c r="P80" s="223"/>
    </row>
    <row r="81" spans="1:16" x14ac:dyDescent="0.35">
      <c r="A81" s="229" t="s">
        <v>232</v>
      </c>
      <c r="B81" s="224" t="s">
        <v>233</v>
      </c>
      <c r="C81" s="210">
        <f t="shared" si="3"/>
        <v>0</v>
      </c>
      <c r="D81" s="211">
        <f t="shared" si="3"/>
        <v>2377112.8199999989</v>
      </c>
      <c r="E81" s="212"/>
      <c r="F81" s="211">
        <f>D81-C81</f>
        <v>2377112.8199999989</v>
      </c>
      <c r="G81" s="221"/>
      <c r="H81" s="221">
        <v>27171.71</v>
      </c>
      <c r="I81" s="216"/>
      <c r="J81" s="216"/>
      <c r="K81" s="221"/>
      <c r="L81" s="221"/>
      <c r="M81" s="216"/>
      <c r="N81" s="216"/>
      <c r="O81" s="222"/>
      <c r="P81" s="223">
        <v>2349941.1099999989</v>
      </c>
    </row>
    <row r="82" spans="1:16" x14ac:dyDescent="0.35">
      <c r="A82" s="229" t="s">
        <v>234</v>
      </c>
      <c r="B82" s="224" t="s">
        <v>235</v>
      </c>
      <c r="C82" s="210">
        <f t="shared" si="3"/>
        <v>24173829.23</v>
      </c>
      <c r="D82" s="211">
        <f t="shared" si="3"/>
        <v>0</v>
      </c>
      <c r="E82" s="212">
        <f>C82-D82</f>
        <v>24173829.23</v>
      </c>
      <c r="F82" s="211"/>
      <c r="G82" s="221"/>
      <c r="H82" s="221"/>
      <c r="I82" s="216"/>
      <c r="J82" s="216"/>
      <c r="K82" s="221"/>
      <c r="L82" s="221"/>
      <c r="M82" s="216"/>
      <c r="N82" s="216"/>
      <c r="O82" s="222">
        <v>24173829.23</v>
      </c>
      <c r="P82" s="223"/>
    </row>
    <row r="83" spans="1:16" x14ac:dyDescent="0.35">
      <c r="A83" s="229" t="s">
        <v>236</v>
      </c>
      <c r="B83" s="224" t="s">
        <v>237</v>
      </c>
      <c r="C83" s="210">
        <f t="shared" si="3"/>
        <v>0</v>
      </c>
      <c r="D83" s="211">
        <f t="shared" si="3"/>
        <v>15179643.719999993</v>
      </c>
      <c r="E83" s="212"/>
      <c r="F83" s="211">
        <f>D83-C83</f>
        <v>15179643.719999993</v>
      </c>
      <c r="G83" s="221"/>
      <c r="H83" s="221">
        <v>153690.92000000001</v>
      </c>
      <c r="I83" s="216"/>
      <c r="J83" s="216"/>
      <c r="K83" s="221"/>
      <c r="L83" s="221"/>
      <c r="M83" s="216"/>
      <c r="N83" s="216"/>
      <c r="O83" s="222"/>
      <c r="P83" s="223">
        <v>15025952.799999993</v>
      </c>
    </row>
    <row r="84" spans="1:16" x14ac:dyDescent="0.35">
      <c r="A84" s="229" t="s">
        <v>238</v>
      </c>
      <c r="B84" s="224" t="s">
        <v>239</v>
      </c>
      <c r="C84" s="210">
        <f t="shared" si="3"/>
        <v>469899.1</v>
      </c>
      <c r="D84" s="211">
        <f t="shared" si="3"/>
        <v>0</v>
      </c>
      <c r="E84" s="212">
        <f>C84-D84</f>
        <v>469899.1</v>
      </c>
      <c r="F84" s="211"/>
      <c r="G84" s="221"/>
      <c r="H84" s="221"/>
      <c r="I84" s="216"/>
      <c r="J84" s="216"/>
      <c r="K84" s="221"/>
      <c r="L84" s="221"/>
      <c r="M84" s="216"/>
      <c r="N84" s="216"/>
      <c r="O84" s="222">
        <v>469899.1</v>
      </c>
      <c r="P84" s="223"/>
    </row>
    <row r="85" spans="1:16" x14ac:dyDescent="0.35">
      <c r="A85" s="229" t="s">
        <v>240</v>
      </c>
      <c r="B85" s="224" t="s">
        <v>241</v>
      </c>
      <c r="C85" s="210">
        <f t="shared" si="3"/>
        <v>0</v>
      </c>
      <c r="D85" s="211">
        <f t="shared" si="3"/>
        <v>306660.09000000008</v>
      </c>
      <c r="E85" s="212"/>
      <c r="F85" s="211">
        <f>D85-C85</f>
        <v>306660.09000000008</v>
      </c>
      <c r="G85" s="221"/>
      <c r="H85" s="221">
        <v>1900</v>
      </c>
      <c r="I85" s="216"/>
      <c r="J85" s="216"/>
      <c r="K85" s="221"/>
      <c r="L85" s="221"/>
      <c r="M85" s="216"/>
      <c r="N85" s="216"/>
      <c r="O85" s="222"/>
      <c r="P85" s="223">
        <v>304760.09000000008</v>
      </c>
    </row>
    <row r="86" spans="1:16" x14ac:dyDescent="0.35">
      <c r="A86" s="229" t="s">
        <v>242</v>
      </c>
      <c r="B86" s="224" t="s">
        <v>243</v>
      </c>
      <c r="C86" s="210">
        <f t="shared" si="3"/>
        <v>10541339.84</v>
      </c>
      <c r="D86" s="211">
        <f t="shared" si="3"/>
        <v>0</v>
      </c>
      <c r="E86" s="212">
        <f>C86-D86</f>
        <v>10541339.84</v>
      </c>
      <c r="F86" s="211"/>
      <c r="G86" s="221"/>
      <c r="H86" s="221"/>
      <c r="I86" s="216"/>
      <c r="J86" s="216"/>
      <c r="K86" s="221"/>
      <c r="L86" s="221"/>
      <c r="M86" s="216"/>
      <c r="N86" s="216"/>
      <c r="O86" s="222">
        <v>10541339.84</v>
      </c>
      <c r="P86" s="223"/>
    </row>
    <row r="87" spans="1:16" x14ac:dyDescent="0.35">
      <c r="A87" s="229" t="s">
        <v>244</v>
      </c>
      <c r="B87" s="224" t="s">
        <v>245</v>
      </c>
      <c r="C87" s="210">
        <f t="shared" si="3"/>
        <v>0</v>
      </c>
      <c r="D87" s="211">
        <f t="shared" si="3"/>
        <v>7243881.0300000058</v>
      </c>
      <c r="E87" s="212"/>
      <c r="F87" s="211">
        <f>D87-C87</f>
        <v>7243881.0300000058</v>
      </c>
      <c r="G87" s="221"/>
      <c r="H87" s="221">
        <v>63788.41</v>
      </c>
      <c r="I87" s="216"/>
      <c r="J87" s="216"/>
      <c r="K87" s="221"/>
      <c r="L87" s="221"/>
      <c r="M87" s="216"/>
      <c r="N87" s="216"/>
      <c r="O87" s="222"/>
      <c r="P87" s="223">
        <v>7180092.6200000057</v>
      </c>
    </row>
    <row r="88" spans="1:16" x14ac:dyDescent="0.35">
      <c r="A88" s="229" t="s">
        <v>246</v>
      </c>
      <c r="B88" s="224" t="s">
        <v>247</v>
      </c>
      <c r="C88" s="210">
        <f t="shared" si="3"/>
        <v>13200797.199999999</v>
      </c>
      <c r="D88" s="211">
        <f t="shared" si="3"/>
        <v>0</v>
      </c>
      <c r="E88" s="212">
        <f>C88-D88</f>
        <v>13200797.199999999</v>
      </c>
      <c r="F88" s="211"/>
      <c r="G88" s="221"/>
      <c r="H88" s="221"/>
      <c r="I88" s="216"/>
      <c r="J88" s="216"/>
      <c r="K88" s="221"/>
      <c r="L88" s="221"/>
      <c r="M88" s="216"/>
      <c r="N88" s="216"/>
      <c r="O88" s="222">
        <v>13200797.199999999</v>
      </c>
      <c r="P88" s="223"/>
    </row>
    <row r="89" spans="1:16" x14ac:dyDescent="0.35">
      <c r="A89" s="229" t="s">
        <v>248</v>
      </c>
      <c r="B89" s="224" t="s">
        <v>249</v>
      </c>
      <c r="C89" s="210">
        <f t="shared" si="3"/>
        <v>0</v>
      </c>
      <c r="D89" s="211">
        <f t="shared" si="3"/>
        <v>9544995.8899999969</v>
      </c>
      <c r="E89" s="212"/>
      <c r="F89" s="211">
        <f>D89-C89</f>
        <v>9544995.8899999969</v>
      </c>
      <c r="G89" s="221"/>
      <c r="H89" s="221">
        <v>91223.98</v>
      </c>
      <c r="I89" s="216"/>
      <c r="J89" s="216"/>
      <c r="K89" s="221"/>
      <c r="L89" s="221"/>
      <c r="M89" s="216"/>
      <c r="N89" s="216"/>
      <c r="O89" s="222"/>
      <c r="P89" s="223">
        <v>9453771.9099999964</v>
      </c>
    </row>
    <row r="90" spans="1:16" x14ac:dyDescent="0.35">
      <c r="A90" s="229" t="s">
        <v>250</v>
      </c>
      <c r="B90" s="224" t="s">
        <v>251</v>
      </c>
      <c r="C90" s="210">
        <f t="shared" si="3"/>
        <v>973574.64</v>
      </c>
      <c r="D90" s="211">
        <f t="shared" si="3"/>
        <v>0</v>
      </c>
      <c r="E90" s="212">
        <f>C90-D90</f>
        <v>973574.64</v>
      </c>
      <c r="F90" s="211"/>
      <c r="G90" s="221"/>
      <c r="H90" s="221"/>
      <c r="I90" s="216"/>
      <c r="J90" s="216"/>
      <c r="K90" s="221"/>
      <c r="L90" s="221"/>
      <c r="M90" s="216"/>
      <c r="N90" s="216"/>
      <c r="O90" s="222">
        <v>973574.64</v>
      </c>
      <c r="P90" s="223"/>
    </row>
    <row r="91" spans="1:16" x14ac:dyDescent="0.35">
      <c r="A91" s="229" t="s">
        <v>252</v>
      </c>
      <c r="B91" s="224" t="s">
        <v>253</v>
      </c>
      <c r="C91" s="210">
        <f t="shared" si="3"/>
        <v>0</v>
      </c>
      <c r="D91" s="211">
        <f t="shared" si="3"/>
        <v>939405.72999999858</v>
      </c>
      <c r="E91" s="212"/>
      <c r="F91" s="211">
        <f>D91-C91</f>
        <v>939405.72999999858</v>
      </c>
      <c r="G91" s="221"/>
      <c r="H91" s="221">
        <v>4428.21</v>
      </c>
      <c r="I91" s="216"/>
      <c r="J91" s="216"/>
      <c r="K91" s="221"/>
      <c r="L91" s="221"/>
      <c r="M91" s="216"/>
      <c r="N91" s="216"/>
      <c r="O91" s="222"/>
      <c r="P91" s="223">
        <v>934977.51999999862</v>
      </c>
    </row>
    <row r="92" spans="1:16" x14ac:dyDescent="0.35">
      <c r="A92" s="229" t="s">
        <v>254</v>
      </c>
      <c r="B92" s="224" t="s">
        <v>255</v>
      </c>
      <c r="C92" s="210">
        <f t="shared" si="3"/>
        <v>20500</v>
      </c>
      <c r="D92" s="211">
        <f t="shared" si="3"/>
        <v>0</v>
      </c>
      <c r="E92" s="212">
        <f>C92-D92</f>
        <v>20500</v>
      </c>
      <c r="F92" s="211"/>
      <c r="G92" s="221"/>
      <c r="H92" s="221"/>
      <c r="I92" s="216"/>
      <c r="J92" s="216"/>
      <c r="K92" s="221"/>
      <c r="L92" s="221"/>
      <c r="M92" s="216"/>
      <c r="N92" s="216"/>
      <c r="O92" s="222">
        <v>20500</v>
      </c>
      <c r="P92" s="223"/>
    </row>
    <row r="93" spans="1:16" x14ac:dyDescent="0.35">
      <c r="A93" s="229" t="s">
        <v>256</v>
      </c>
      <c r="B93" s="224" t="s">
        <v>257</v>
      </c>
      <c r="C93" s="210">
        <f t="shared" si="3"/>
        <v>0</v>
      </c>
      <c r="D93" s="211">
        <f t="shared" si="3"/>
        <v>12658.620000000023</v>
      </c>
      <c r="E93" s="212"/>
      <c r="F93" s="211">
        <f>D93-C93</f>
        <v>12658.620000000023</v>
      </c>
      <c r="G93" s="221"/>
      <c r="H93" s="221">
        <v>162.29</v>
      </c>
      <c r="I93" s="216"/>
      <c r="J93" s="216"/>
      <c r="K93" s="221"/>
      <c r="L93" s="221"/>
      <c r="M93" s="216"/>
      <c r="N93" s="216"/>
      <c r="O93" s="222"/>
      <c r="P93" s="223">
        <v>12496.330000000022</v>
      </c>
    </row>
    <row r="94" spans="1:16" x14ac:dyDescent="0.35">
      <c r="A94" s="229" t="s">
        <v>258</v>
      </c>
      <c r="B94" s="224" t="s">
        <v>259</v>
      </c>
      <c r="C94" s="210">
        <f t="shared" si="3"/>
        <v>1446826.32</v>
      </c>
      <c r="D94" s="211">
        <f t="shared" si="3"/>
        <v>0</v>
      </c>
      <c r="E94" s="212">
        <f>C94-D94</f>
        <v>1446826.32</v>
      </c>
      <c r="F94" s="211"/>
      <c r="G94" s="221"/>
      <c r="H94" s="221"/>
      <c r="I94" s="216"/>
      <c r="J94" s="216"/>
      <c r="K94" s="221"/>
      <c r="L94" s="221"/>
      <c r="M94" s="216"/>
      <c r="N94" s="216"/>
      <c r="O94" s="222">
        <v>1446826.32</v>
      </c>
      <c r="P94" s="223"/>
    </row>
    <row r="95" spans="1:16" x14ac:dyDescent="0.35">
      <c r="A95" s="229" t="s">
        <v>260</v>
      </c>
      <c r="B95" s="224" t="s">
        <v>261</v>
      </c>
      <c r="C95" s="210">
        <f t="shared" si="3"/>
        <v>0</v>
      </c>
      <c r="D95" s="211">
        <f t="shared" si="3"/>
        <v>1088141.6799999992</v>
      </c>
      <c r="E95" s="212"/>
      <c r="F95" s="211">
        <f>D95-C95</f>
        <v>1088141.6799999992</v>
      </c>
      <c r="G95" s="221"/>
      <c r="H95" s="221">
        <v>2025.73</v>
      </c>
      <c r="I95" s="216"/>
      <c r="J95" s="216"/>
      <c r="K95" s="221"/>
      <c r="L95" s="221"/>
      <c r="M95" s="216"/>
      <c r="N95" s="216"/>
      <c r="O95" s="222"/>
      <c r="P95" s="223">
        <v>1086115.9499999993</v>
      </c>
    </row>
    <row r="96" spans="1:16" x14ac:dyDescent="0.35">
      <c r="A96" s="229" t="s">
        <v>262</v>
      </c>
      <c r="B96" s="224" t="s">
        <v>263</v>
      </c>
      <c r="C96" s="210">
        <f t="shared" si="3"/>
        <v>22503210.539999999</v>
      </c>
      <c r="D96" s="211">
        <f t="shared" si="3"/>
        <v>0</v>
      </c>
      <c r="E96" s="212">
        <f>C96-D96</f>
        <v>22503210.539999999</v>
      </c>
      <c r="F96" s="211"/>
      <c r="G96" s="221"/>
      <c r="H96" s="221"/>
      <c r="I96" s="216"/>
      <c r="J96" s="216"/>
      <c r="K96" s="221"/>
      <c r="L96" s="221"/>
      <c r="M96" s="216"/>
      <c r="N96" s="216"/>
      <c r="O96" s="222">
        <v>22503210.539999999</v>
      </c>
      <c r="P96" s="223"/>
    </row>
    <row r="97" spans="1:16" x14ac:dyDescent="0.35">
      <c r="A97" s="229" t="s">
        <v>264</v>
      </c>
      <c r="B97" s="224" t="s">
        <v>265</v>
      </c>
      <c r="C97" s="210">
        <f t="shared" si="3"/>
        <v>0</v>
      </c>
      <c r="D97" s="211">
        <f t="shared" si="3"/>
        <v>11592374.199999992</v>
      </c>
      <c r="E97" s="212"/>
      <c r="F97" s="211">
        <f>D97-C97</f>
        <v>11592374.199999992</v>
      </c>
      <c r="G97" s="221"/>
      <c r="H97" s="221">
        <v>63174.99</v>
      </c>
      <c r="I97" s="216"/>
      <c r="J97" s="216"/>
      <c r="K97" s="221"/>
      <c r="L97" s="221"/>
      <c r="M97" s="216"/>
      <c r="N97" s="216"/>
      <c r="O97" s="222"/>
      <c r="P97" s="223">
        <v>11529199.209999992</v>
      </c>
    </row>
    <row r="98" spans="1:16" x14ac:dyDescent="0.35">
      <c r="A98" s="229" t="s">
        <v>266</v>
      </c>
      <c r="B98" s="224" t="s">
        <v>267</v>
      </c>
      <c r="C98" s="210">
        <f t="shared" si="3"/>
        <v>4693898.38</v>
      </c>
      <c r="D98" s="211">
        <f t="shared" si="3"/>
        <v>0</v>
      </c>
      <c r="E98" s="212">
        <f>C98-D98</f>
        <v>4693898.38</v>
      </c>
      <c r="F98" s="211"/>
      <c r="G98" s="221"/>
      <c r="H98" s="221"/>
      <c r="I98" s="216"/>
      <c r="J98" s="216"/>
      <c r="K98" s="221"/>
      <c r="L98" s="221"/>
      <c r="M98" s="216"/>
      <c r="N98" s="216"/>
      <c r="O98" s="222">
        <v>4693898.38</v>
      </c>
      <c r="P98" s="223"/>
    </row>
    <row r="99" spans="1:16" x14ac:dyDescent="0.35">
      <c r="A99" s="229" t="s">
        <v>268</v>
      </c>
      <c r="B99" s="224" t="s">
        <v>269</v>
      </c>
      <c r="C99" s="210">
        <f t="shared" si="3"/>
        <v>0</v>
      </c>
      <c r="D99" s="211">
        <f t="shared" si="3"/>
        <v>3555879.3899999983</v>
      </c>
      <c r="E99" s="212"/>
      <c r="F99" s="211">
        <f>D99-C99</f>
        <v>3555879.3899999983</v>
      </c>
      <c r="G99" s="221"/>
      <c r="H99" s="221">
        <v>34636.17</v>
      </c>
      <c r="I99" s="216"/>
      <c r="J99" s="216"/>
      <c r="K99" s="221"/>
      <c r="L99" s="221"/>
      <c r="M99" s="216"/>
      <c r="N99" s="216"/>
      <c r="O99" s="222"/>
      <c r="P99" s="223">
        <v>3521243.2199999983</v>
      </c>
    </row>
    <row r="100" spans="1:16" x14ac:dyDescent="0.35">
      <c r="A100" s="229" t="s">
        <v>270</v>
      </c>
      <c r="B100" s="224" t="s">
        <v>271</v>
      </c>
      <c r="C100" s="210">
        <f t="shared" si="3"/>
        <v>998608.57</v>
      </c>
      <c r="D100" s="211">
        <f t="shared" si="3"/>
        <v>0</v>
      </c>
      <c r="E100" s="212">
        <f>C100-D100</f>
        <v>998608.57</v>
      </c>
      <c r="F100" s="211"/>
      <c r="G100" s="221"/>
      <c r="H100" s="221"/>
      <c r="I100" s="216"/>
      <c r="J100" s="216"/>
      <c r="K100" s="221"/>
      <c r="L100" s="221"/>
      <c r="M100" s="216"/>
      <c r="N100" s="216"/>
      <c r="O100" s="222">
        <v>998608.57</v>
      </c>
      <c r="P100" s="223"/>
    </row>
    <row r="101" spans="1:16" x14ac:dyDescent="0.35">
      <c r="A101" s="229" t="s">
        <v>272</v>
      </c>
      <c r="B101" s="224" t="s">
        <v>273</v>
      </c>
      <c r="C101" s="210">
        <f t="shared" si="3"/>
        <v>0</v>
      </c>
      <c r="D101" s="211">
        <f t="shared" si="3"/>
        <v>791515.37000000163</v>
      </c>
      <c r="E101" s="212"/>
      <c r="F101" s="211">
        <f>D101-C101</f>
        <v>791515.37000000163</v>
      </c>
      <c r="G101" s="221"/>
      <c r="H101" s="221">
        <v>4931.55</v>
      </c>
      <c r="I101" s="216"/>
      <c r="J101" s="216"/>
      <c r="K101" s="221"/>
      <c r="L101" s="221"/>
      <c r="M101" s="216"/>
      <c r="N101" s="216"/>
      <c r="O101" s="222"/>
      <c r="P101" s="223">
        <v>786583.82000000158</v>
      </c>
    </row>
    <row r="102" spans="1:16" x14ac:dyDescent="0.35">
      <c r="A102" s="229" t="s">
        <v>274</v>
      </c>
      <c r="B102" s="224" t="s">
        <v>275</v>
      </c>
      <c r="C102" s="210">
        <f t="shared" si="3"/>
        <v>2982361.45</v>
      </c>
      <c r="D102" s="211">
        <f t="shared" si="3"/>
        <v>0</v>
      </c>
      <c r="E102" s="212">
        <f>C102-D102</f>
        <v>2982361.45</v>
      </c>
      <c r="F102" s="211"/>
      <c r="G102" s="221"/>
      <c r="H102" s="221"/>
      <c r="I102" s="216"/>
      <c r="J102" s="216"/>
      <c r="K102" s="221"/>
      <c r="L102" s="221"/>
      <c r="M102" s="216"/>
      <c r="N102" s="216"/>
      <c r="O102" s="222">
        <v>2982361.45</v>
      </c>
      <c r="P102" s="223"/>
    </row>
    <row r="103" spans="1:16" x14ac:dyDescent="0.35">
      <c r="A103" s="229" t="s">
        <v>276</v>
      </c>
      <c r="B103" s="224" t="s">
        <v>277</v>
      </c>
      <c r="C103" s="210">
        <f t="shared" si="3"/>
        <v>0</v>
      </c>
      <c r="D103" s="211">
        <f t="shared" si="3"/>
        <v>2458288.8500000015</v>
      </c>
      <c r="E103" s="212"/>
      <c r="F103" s="211">
        <f>D103-C103</f>
        <v>2458288.8500000015</v>
      </c>
      <c r="G103" s="221"/>
      <c r="H103" s="221">
        <v>16138.73</v>
      </c>
      <c r="I103" s="216"/>
      <c r="J103" s="216"/>
      <c r="K103" s="221"/>
      <c r="L103" s="221"/>
      <c r="M103" s="216"/>
      <c r="N103" s="216"/>
      <c r="O103" s="222"/>
      <c r="P103" s="223">
        <v>2442150.1200000015</v>
      </c>
    </row>
    <row r="104" spans="1:16" x14ac:dyDescent="0.35">
      <c r="A104" s="229" t="s">
        <v>278</v>
      </c>
      <c r="B104" s="224" t="s">
        <v>279</v>
      </c>
      <c r="C104" s="210">
        <f t="shared" si="3"/>
        <v>4850634.74</v>
      </c>
      <c r="D104" s="211">
        <f t="shared" si="3"/>
        <v>0</v>
      </c>
      <c r="E104" s="212">
        <f>C104-D104</f>
        <v>4850634.74</v>
      </c>
      <c r="F104" s="211"/>
      <c r="G104" s="221"/>
      <c r="H104" s="221"/>
      <c r="I104" s="216"/>
      <c r="J104" s="216"/>
      <c r="K104" s="221"/>
      <c r="L104" s="221"/>
      <c r="M104" s="216"/>
      <c r="N104" s="216"/>
      <c r="O104" s="222">
        <v>4850634.74</v>
      </c>
      <c r="P104" s="223"/>
    </row>
    <row r="105" spans="1:16" x14ac:dyDescent="0.35">
      <c r="A105" s="229" t="s">
        <v>280</v>
      </c>
      <c r="B105" s="224" t="s">
        <v>281</v>
      </c>
      <c r="C105" s="210">
        <f t="shared" si="3"/>
        <v>0</v>
      </c>
      <c r="D105" s="211">
        <f t="shared" si="3"/>
        <v>148810.8400000002</v>
      </c>
      <c r="E105" s="212"/>
      <c r="F105" s="211">
        <f>D105-C105</f>
        <v>148810.8400000002</v>
      </c>
      <c r="G105" s="221"/>
      <c r="H105" s="221">
        <v>909.42</v>
      </c>
      <c r="I105" s="216"/>
      <c r="J105" s="216"/>
      <c r="K105" s="221"/>
      <c r="L105" s="221"/>
      <c r="M105" s="216"/>
      <c r="N105" s="216"/>
      <c r="O105" s="222"/>
      <c r="P105" s="223">
        <v>147901.42000000019</v>
      </c>
    </row>
    <row r="106" spans="1:16" x14ac:dyDescent="0.35">
      <c r="A106" s="229" t="s">
        <v>282</v>
      </c>
      <c r="B106" s="224" t="s">
        <v>283</v>
      </c>
      <c r="C106" s="210">
        <f t="shared" si="3"/>
        <v>801415.62</v>
      </c>
      <c r="D106" s="211">
        <f t="shared" si="3"/>
        <v>0</v>
      </c>
      <c r="E106" s="212">
        <f>C106-D106</f>
        <v>801415.62</v>
      </c>
      <c r="F106" s="211"/>
      <c r="G106" s="221"/>
      <c r="H106" s="221"/>
      <c r="I106" s="216"/>
      <c r="J106" s="216"/>
      <c r="K106" s="221"/>
      <c r="L106" s="221"/>
      <c r="M106" s="216"/>
      <c r="N106" s="216"/>
      <c r="O106" s="222">
        <v>801415.62</v>
      </c>
      <c r="P106" s="223"/>
    </row>
    <row r="107" spans="1:16" x14ac:dyDescent="0.35">
      <c r="A107" s="229" t="s">
        <v>284</v>
      </c>
      <c r="B107" s="224" t="s">
        <v>285</v>
      </c>
      <c r="C107" s="210">
        <f t="shared" si="3"/>
        <v>0</v>
      </c>
      <c r="D107" s="211">
        <f t="shared" si="3"/>
        <v>509771.57999999996</v>
      </c>
      <c r="E107" s="212"/>
      <c r="F107" s="211">
        <f>D107-C107</f>
        <v>509771.57999999996</v>
      </c>
      <c r="G107" s="221"/>
      <c r="H107" s="221">
        <v>3908.5</v>
      </c>
      <c r="I107" s="216"/>
      <c r="J107" s="216"/>
      <c r="K107" s="221"/>
      <c r="L107" s="221"/>
      <c r="M107" s="216"/>
      <c r="N107" s="216"/>
      <c r="O107" s="222"/>
      <c r="P107" s="223">
        <v>505863.07999999996</v>
      </c>
    </row>
    <row r="108" spans="1:16" x14ac:dyDescent="0.35">
      <c r="A108" s="229" t="s">
        <v>286</v>
      </c>
      <c r="B108" s="224" t="s">
        <v>287</v>
      </c>
      <c r="C108" s="210">
        <f t="shared" si="3"/>
        <v>1343220</v>
      </c>
      <c r="D108" s="211">
        <f t="shared" si="3"/>
        <v>0</v>
      </c>
      <c r="E108" s="212">
        <f>C108-D108</f>
        <v>1343220</v>
      </c>
      <c r="F108" s="211"/>
      <c r="G108" s="221"/>
      <c r="H108" s="221"/>
      <c r="I108" s="216"/>
      <c r="J108" s="216"/>
      <c r="K108" s="221"/>
      <c r="L108" s="221"/>
      <c r="M108" s="216"/>
      <c r="N108" s="216"/>
      <c r="O108" s="222">
        <v>1343220</v>
      </c>
      <c r="P108" s="223"/>
    </row>
    <row r="109" spans="1:16" x14ac:dyDescent="0.35">
      <c r="A109" s="229" t="s">
        <v>288</v>
      </c>
      <c r="B109" s="224" t="s">
        <v>289</v>
      </c>
      <c r="C109" s="210">
        <f t="shared" si="3"/>
        <v>0</v>
      </c>
      <c r="D109" s="211">
        <f t="shared" si="3"/>
        <v>607489.88999999978</v>
      </c>
      <c r="E109" s="212"/>
      <c r="F109" s="211">
        <f>D109-C109</f>
        <v>607489.88999999978</v>
      </c>
      <c r="G109" s="221"/>
      <c r="H109" s="221">
        <v>5555.7</v>
      </c>
      <c r="I109" s="216"/>
      <c r="J109" s="216"/>
      <c r="K109" s="221"/>
      <c r="L109" s="221"/>
      <c r="M109" s="216"/>
      <c r="N109" s="216"/>
      <c r="O109" s="222"/>
      <c r="P109" s="223">
        <v>601934.18999999983</v>
      </c>
    </row>
    <row r="110" spans="1:16" x14ac:dyDescent="0.35">
      <c r="A110" s="229" t="s">
        <v>290</v>
      </c>
      <c r="B110" s="224" t="s">
        <v>291</v>
      </c>
      <c r="C110" s="210">
        <f t="shared" si="3"/>
        <v>8226340.7199999997</v>
      </c>
      <c r="D110" s="211">
        <f t="shared" si="3"/>
        <v>0</v>
      </c>
      <c r="E110" s="212">
        <f>C110-D110</f>
        <v>8226340.7199999997</v>
      </c>
      <c r="F110" s="211"/>
      <c r="G110" s="221"/>
      <c r="H110" s="221"/>
      <c r="I110" s="216"/>
      <c r="J110" s="216"/>
      <c r="K110" s="221"/>
      <c r="L110" s="221"/>
      <c r="M110" s="216"/>
      <c r="N110" s="216"/>
      <c r="O110" s="222">
        <v>8226340.7199999997</v>
      </c>
      <c r="P110" s="223"/>
    </row>
    <row r="111" spans="1:16" x14ac:dyDescent="0.35">
      <c r="A111" s="229" t="s">
        <v>292</v>
      </c>
      <c r="B111" s="224" t="s">
        <v>293</v>
      </c>
      <c r="C111" s="210">
        <f t="shared" si="3"/>
        <v>0</v>
      </c>
      <c r="D111" s="211">
        <f t="shared" si="3"/>
        <v>6753493.8999999994</v>
      </c>
      <c r="E111" s="212"/>
      <c r="F111" s="211">
        <f>D111-C111</f>
        <v>6753493.8999999994</v>
      </c>
      <c r="G111" s="221"/>
      <c r="H111" s="221">
        <v>48387.8</v>
      </c>
      <c r="I111" s="216"/>
      <c r="J111" s="216"/>
      <c r="K111" s="221"/>
      <c r="L111" s="221"/>
      <c r="M111" s="216"/>
      <c r="N111" s="216"/>
      <c r="O111" s="222"/>
      <c r="P111" s="223">
        <v>6705106.0999999996</v>
      </c>
    </row>
    <row r="112" spans="1:16" x14ac:dyDescent="0.35">
      <c r="A112" s="229" t="s">
        <v>294</v>
      </c>
      <c r="B112" s="224" t="s">
        <v>295</v>
      </c>
      <c r="C112" s="210">
        <f t="shared" si="3"/>
        <v>531849.31999999995</v>
      </c>
      <c r="D112" s="211">
        <f t="shared" si="3"/>
        <v>0</v>
      </c>
      <c r="E112" s="212">
        <f>C112-D112</f>
        <v>531849.31999999995</v>
      </c>
      <c r="F112" s="211"/>
      <c r="G112" s="221"/>
      <c r="H112" s="221"/>
      <c r="I112" s="216"/>
      <c r="J112" s="216"/>
      <c r="K112" s="221"/>
      <c r="L112" s="221"/>
      <c r="M112" s="216"/>
      <c r="N112" s="216"/>
      <c r="O112" s="222">
        <v>531849.31999999995</v>
      </c>
      <c r="P112" s="223"/>
    </row>
    <row r="113" spans="1:16" x14ac:dyDescent="0.35">
      <c r="A113" s="229" t="s">
        <v>296</v>
      </c>
      <c r="B113" s="224" t="s">
        <v>297</v>
      </c>
      <c r="C113" s="210">
        <f t="shared" si="3"/>
        <v>0</v>
      </c>
      <c r="D113" s="211">
        <f t="shared" si="3"/>
        <v>536619.82999999949</v>
      </c>
      <c r="E113" s="212"/>
      <c r="F113" s="211">
        <f>D113-C113</f>
        <v>536619.82999999949</v>
      </c>
      <c r="G113" s="221"/>
      <c r="H113" s="221">
        <v>1498.94</v>
      </c>
      <c r="I113" s="216"/>
      <c r="J113" s="216"/>
      <c r="K113" s="221"/>
      <c r="L113" s="221"/>
      <c r="M113" s="216"/>
      <c r="N113" s="216"/>
      <c r="O113" s="222"/>
      <c r="P113" s="223">
        <v>535120.88999999955</v>
      </c>
    </row>
    <row r="114" spans="1:16" x14ac:dyDescent="0.35">
      <c r="A114" s="229" t="s">
        <v>298</v>
      </c>
      <c r="B114" s="224" t="s">
        <v>299</v>
      </c>
      <c r="C114" s="210">
        <f t="shared" si="3"/>
        <v>6499665.7800000003</v>
      </c>
      <c r="D114" s="211">
        <f t="shared" si="3"/>
        <v>0</v>
      </c>
      <c r="E114" s="212">
        <f>C114-D114</f>
        <v>6499665.7800000003</v>
      </c>
      <c r="F114" s="211"/>
      <c r="G114" s="221"/>
      <c r="H114" s="221"/>
      <c r="I114" s="216"/>
      <c r="J114" s="216"/>
      <c r="K114" s="221"/>
      <c r="L114" s="221"/>
      <c r="M114" s="216"/>
      <c r="N114" s="216"/>
      <c r="O114" s="222">
        <v>6499665.7800000003</v>
      </c>
      <c r="P114" s="223"/>
    </row>
    <row r="115" spans="1:16" x14ac:dyDescent="0.35">
      <c r="A115" s="229" t="s">
        <v>300</v>
      </c>
      <c r="B115" s="224" t="s">
        <v>301</v>
      </c>
      <c r="C115" s="210">
        <f t="shared" si="3"/>
        <v>0</v>
      </c>
      <c r="D115" s="211">
        <f t="shared" si="3"/>
        <v>4477730.6800000034</v>
      </c>
      <c r="E115" s="212"/>
      <c r="F115" s="211">
        <f>D115-C115</f>
        <v>4477730.6800000034</v>
      </c>
      <c r="G115" s="221"/>
      <c r="H115" s="221">
        <v>20523.16</v>
      </c>
      <c r="I115" s="216"/>
      <c r="J115" s="216"/>
      <c r="K115" s="221"/>
      <c r="L115" s="221"/>
      <c r="M115" s="216"/>
      <c r="N115" s="216"/>
      <c r="O115" s="222"/>
      <c r="P115" s="223">
        <v>4457207.5200000033</v>
      </c>
    </row>
    <row r="116" spans="1:16" x14ac:dyDescent="0.35">
      <c r="A116" s="229" t="s">
        <v>302</v>
      </c>
      <c r="B116" s="224" t="s">
        <v>303</v>
      </c>
      <c r="C116" s="210">
        <f t="shared" si="3"/>
        <v>118244.47</v>
      </c>
      <c r="D116" s="211">
        <f t="shared" si="3"/>
        <v>0</v>
      </c>
      <c r="E116" s="212">
        <f>C116-D116</f>
        <v>118244.47</v>
      </c>
      <c r="F116" s="211"/>
      <c r="G116" s="221"/>
      <c r="H116" s="221"/>
      <c r="I116" s="216"/>
      <c r="J116" s="216"/>
      <c r="K116" s="221"/>
      <c r="L116" s="221"/>
      <c r="M116" s="216"/>
      <c r="N116" s="216"/>
      <c r="O116" s="222">
        <v>118244.47</v>
      </c>
      <c r="P116" s="223"/>
    </row>
    <row r="117" spans="1:16" x14ac:dyDescent="0.35">
      <c r="A117" s="229" t="s">
        <v>304</v>
      </c>
      <c r="B117" s="224" t="s">
        <v>305</v>
      </c>
      <c r="C117" s="210">
        <f t="shared" si="3"/>
        <v>0</v>
      </c>
      <c r="D117" s="211">
        <f t="shared" si="3"/>
        <v>112328.32000000014</v>
      </c>
      <c r="E117" s="212"/>
      <c r="F117" s="211">
        <f>D117-C117</f>
        <v>112328.32000000014</v>
      </c>
      <c r="G117" s="221"/>
      <c r="H117" s="221">
        <v>1516.99</v>
      </c>
      <c r="I117" s="216"/>
      <c r="J117" s="216"/>
      <c r="K117" s="221"/>
      <c r="L117" s="221"/>
      <c r="M117" s="216"/>
      <c r="N117" s="216"/>
      <c r="O117" s="222"/>
      <c r="P117" s="223">
        <v>110811.33000000013</v>
      </c>
    </row>
    <row r="118" spans="1:16" x14ac:dyDescent="0.35">
      <c r="A118" s="229" t="s">
        <v>306</v>
      </c>
      <c r="B118" s="224" t="s">
        <v>307</v>
      </c>
      <c r="C118" s="210">
        <f t="shared" si="3"/>
        <v>0</v>
      </c>
      <c r="D118" s="211">
        <f t="shared" si="3"/>
        <v>0</v>
      </c>
      <c r="E118" s="212">
        <f>C118-D118</f>
        <v>0</v>
      </c>
      <c r="F118" s="211"/>
      <c r="G118" s="221"/>
      <c r="H118" s="221"/>
      <c r="I118" s="216"/>
      <c r="J118" s="216"/>
      <c r="K118" s="221"/>
      <c r="L118" s="221"/>
      <c r="M118" s="216"/>
      <c r="N118" s="216"/>
      <c r="O118" s="222">
        <v>0</v>
      </c>
      <c r="P118" s="223"/>
    </row>
    <row r="119" spans="1:16" x14ac:dyDescent="0.35">
      <c r="A119" s="229" t="s">
        <v>308</v>
      </c>
      <c r="B119" s="230" t="s">
        <v>309</v>
      </c>
      <c r="C119" s="210">
        <f t="shared" si="3"/>
        <v>4525020.410000002</v>
      </c>
      <c r="D119" s="211">
        <f t="shared" si="3"/>
        <v>0</v>
      </c>
      <c r="E119" s="212">
        <f>C119-D119</f>
        <v>4525020.410000002</v>
      </c>
      <c r="F119" s="211"/>
      <c r="G119" s="221"/>
      <c r="H119" s="221"/>
      <c r="I119" s="216"/>
      <c r="J119" s="216"/>
      <c r="K119" s="221"/>
      <c r="L119" s="221"/>
      <c r="M119" s="216"/>
      <c r="N119" s="216"/>
      <c r="O119" s="222">
        <v>4525020.410000002</v>
      </c>
      <c r="P119" s="223"/>
    </row>
    <row r="120" spans="1:16" x14ac:dyDescent="0.35">
      <c r="A120" s="229" t="s">
        <v>310</v>
      </c>
      <c r="B120" s="230" t="s">
        <v>311</v>
      </c>
      <c r="C120" s="210">
        <f t="shared" si="3"/>
        <v>6680458.1600000001</v>
      </c>
      <c r="D120" s="211">
        <f t="shared" si="3"/>
        <v>0</v>
      </c>
      <c r="E120" s="212">
        <f>C120-D120</f>
        <v>6680458.1600000001</v>
      </c>
      <c r="F120" s="211"/>
      <c r="G120" s="221"/>
      <c r="H120" s="221"/>
      <c r="I120" s="216"/>
      <c r="J120" s="216"/>
      <c r="K120" s="221"/>
      <c r="L120" s="221"/>
      <c r="M120" s="216"/>
      <c r="N120" s="216"/>
      <c r="O120" s="222">
        <v>6680458.1600000001</v>
      </c>
      <c r="P120" s="223"/>
    </row>
    <row r="121" spans="1:16" x14ac:dyDescent="0.35">
      <c r="A121" s="229" t="s">
        <v>312</v>
      </c>
      <c r="B121" s="224" t="s">
        <v>313</v>
      </c>
      <c r="C121" s="210">
        <f t="shared" si="3"/>
        <v>4921060.1100000003</v>
      </c>
      <c r="D121" s="211">
        <f t="shared" si="3"/>
        <v>0</v>
      </c>
      <c r="E121" s="212">
        <f>C121-D121</f>
        <v>4921060.1100000003</v>
      </c>
      <c r="F121" s="211"/>
      <c r="G121" s="221"/>
      <c r="H121" s="221"/>
      <c r="I121" s="216"/>
      <c r="J121" s="216"/>
      <c r="K121" s="221"/>
      <c r="L121" s="221"/>
      <c r="M121" s="216"/>
      <c r="N121" s="216"/>
      <c r="O121" s="222">
        <v>4921060.1100000003</v>
      </c>
      <c r="P121" s="223"/>
    </row>
    <row r="122" spans="1:16" x14ac:dyDescent="0.35">
      <c r="A122" s="229" t="s">
        <v>314</v>
      </c>
      <c r="B122" s="224" t="s">
        <v>315</v>
      </c>
      <c r="C122" s="210">
        <f t="shared" si="3"/>
        <v>0</v>
      </c>
      <c r="D122" s="211">
        <f t="shared" si="3"/>
        <v>4098231.1699999981</v>
      </c>
      <c r="E122" s="212">
        <v>0</v>
      </c>
      <c r="F122" s="211">
        <f>D122-C122</f>
        <v>4098231.1699999981</v>
      </c>
      <c r="G122" s="221"/>
      <c r="H122" s="221">
        <v>44806.71</v>
      </c>
      <c r="I122" s="216"/>
      <c r="J122" s="216"/>
      <c r="K122" s="221"/>
      <c r="L122" s="221"/>
      <c r="M122" s="216"/>
      <c r="N122" s="216"/>
      <c r="O122" s="222">
        <v>0</v>
      </c>
      <c r="P122" s="223">
        <v>4053424.4599999981</v>
      </c>
    </row>
    <row r="123" spans="1:16" x14ac:dyDescent="0.35">
      <c r="A123" s="226" t="s">
        <v>316</v>
      </c>
      <c r="B123" s="224" t="s">
        <v>317</v>
      </c>
      <c r="C123" s="210">
        <f t="shared" si="3"/>
        <v>2375520</v>
      </c>
      <c r="D123" s="211">
        <f t="shared" si="3"/>
        <v>0</v>
      </c>
      <c r="E123" s="212">
        <f>C123-D123</f>
        <v>2375520</v>
      </c>
      <c r="F123" s="211"/>
      <c r="G123" s="221"/>
      <c r="H123" s="221"/>
      <c r="I123" s="216"/>
      <c r="J123" s="216"/>
      <c r="K123" s="221"/>
      <c r="L123" s="221"/>
      <c r="M123" s="216"/>
      <c r="N123" s="216"/>
      <c r="O123" s="222">
        <v>2375520</v>
      </c>
      <c r="P123" s="223"/>
    </row>
    <row r="124" spans="1:16" x14ac:dyDescent="0.35">
      <c r="A124" s="226" t="s">
        <v>318</v>
      </c>
      <c r="B124" s="224" t="s">
        <v>319</v>
      </c>
      <c r="C124" s="210">
        <f t="shared" si="3"/>
        <v>69500</v>
      </c>
      <c r="D124" s="211">
        <f t="shared" si="3"/>
        <v>0</v>
      </c>
      <c r="E124" s="212">
        <f>C124-D124</f>
        <v>69500</v>
      </c>
      <c r="F124" s="211"/>
      <c r="G124" s="221"/>
      <c r="H124" s="221"/>
      <c r="I124" s="216"/>
      <c r="J124" s="216"/>
      <c r="K124" s="221"/>
      <c r="L124" s="221"/>
      <c r="M124" s="216"/>
      <c r="N124" s="216"/>
      <c r="O124" s="222">
        <v>69500</v>
      </c>
      <c r="P124" s="223"/>
    </row>
    <row r="125" spans="1:16" x14ac:dyDescent="0.35">
      <c r="A125" s="226" t="s">
        <v>320</v>
      </c>
      <c r="B125" s="224" t="s">
        <v>321</v>
      </c>
      <c r="C125" s="210">
        <f t="shared" si="3"/>
        <v>829500</v>
      </c>
      <c r="D125" s="211">
        <f t="shared" si="3"/>
        <v>0</v>
      </c>
      <c r="E125" s="212">
        <f>C125-D125</f>
        <v>829500</v>
      </c>
      <c r="F125" s="211"/>
      <c r="G125" s="221"/>
      <c r="H125" s="221"/>
      <c r="I125" s="216"/>
      <c r="J125" s="216"/>
      <c r="K125" s="221"/>
      <c r="L125" s="221"/>
      <c r="M125" s="216"/>
      <c r="N125" s="216"/>
      <c r="O125" s="222">
        <v>829500</v>
      </c>
      <c r="P125" s="223"/>
    </row>
    <row r="126" spans="1:16" x14ac:dyDescent="0.35">
      <c r="A126" s="226" t="s">
        <v>322</v>
      </c>
      <c r="B126" s="220" t="s">
        <v>323</v>
      </c>
      <c r="C126" s="210">
        <f t="shared" si="3"/>
        <v>0</v>
      </c>
      <c r="D126" s="211">
        <f t="shared" si="3"/>
        <v>1071147.6899999981</v>
      </c>
      <c r="E126" s="212"/>
      <c r="F126" s="211">
        <f t="shared" ref="F126:F142" si="4">D126-C126</f>
        <v>1071147.6899999981</v>
      </c>
      <c r="G126" s="221"/>
      <c r="H126" s="221"/>
      <c r="I126" s="216"/>
      <c r="J126" s="216"/>
      <c r="K126" s="221"/>
      <c r="L126" s="221"/>
      <c r="M126" s="216"/>
      <c r="N126" s="216"/>
      <c r="O126" s="222"/>
      <c r="P126" s="223">
        <v>1071147.6899999981</v>
      </c>
    </row>
    <row r="127" spans="1:16" x14ac:dyDescent="0.35">
      <c r="A127" s="219" t="s">
        <v>324</v>
      </c>
      <c r="B127" s="220" t="s">
        <v>325</v>
      </c>
      <c r="C127" s="210">
        <f t="shared" si="3"/>
        <v>0</v>
      </c>
      <c r="D127" s="211">
        <f t="shared" si="3"/>
        <v>309229.79999999702</v>
      </c>
      <c r="E127" s="212"/>
      <c r="F127" s="211">
        <f t="shared" si="4"/>
        <v>309229.79999999702</v>
      </c>
      <c r="G127" s="221"/>
      <c r="H127" s="221"/>
      <c r="I127" s="216"/>
      <c r="J127" s="216"/>
      <c r="K127" s="221"/>
      <c r="L127" s="221"/>
      <c r="M127" s="216"/>
      <c r="N127" s="216"/>
      <c r="O127" s="222"/>
      <c r="P127" s="223">
        <v>309229.79999999702</v>
      </c>
    </row>
    <row r="128" spans="1:16" x14ac:dyDescent="0.35">
      <c r="A128" s="226" t="s">
        <v>326</v>
      </c>
      <c r="B128" s="224" t="s">
        <v>327</v>
      </c>
      <c r="C128" s="210">
        <f t="shared" si="3"/>
        <v>0</v>
      </c>
      <c r="D128" s="211">
        <f t="shared" si="3"/>
        <v>12931478.609999992</v>
      </c>
      <c r="E128" s="212"/>
      <c r="F128" s="211">
        <f t="shared" si="4"/>
        <v>12931478.609999992</v>
      </c>
      <c r="G128" s="221"/>
      <c r="H128" s="221"/>
      <c r="I128" s="216"/>
      <c r="J128" s="216"/>
      <c r="K128" s="221"/>
      <c r="L128" s="221"/>
      <c r="M128" s="216"/>
      <c r="N128" s="216"/>
      <c r="O128" s="222"/>
      <c r="P128" s="223">
        <v>12931478.609999992</v>
      </c>
    </row>
    <row r="129" spans="1:16" x14ac:dyDescent="0.35">
      <c r="A129" s="226" t="s">
        <v>328</v>
      </c>
      <c r="B129" s="220" t="s">
        <v>329</v>
      </c>
      <c r="C129" s="210">
        <f t="shared" si="3"/>
        <v>0</v>
      </c>
      <c r="D129" s="211">
        <f t="shared" si="3"/>
        <v>1040332.3399999999</v>
      </c>
      <c r="E129" s="212"/>
      <c r="F129" s="211">
        <f t="shared" si="4"/>
        <v>1040332.3399999999</v>
      </c>
      <c r="G129" s="221"/>
      <c r="H129" s="221"/>
      <c r="I129" s="216"/>
      <c r="J129" s="216"/>
      <c r="K129" s="221"/>
      <c r="L129" s="221"/>
      <c r="M129" s="216"/>
      <c r="N129" s="216"/>
      <c r="O129" s="222"/>
      <c r="P129" s="223">
        <v>1040332.3399999999</v>
      </c>
    </row>
    <row r="130" spans="1:16" x14ac:dyDescent="0.35">
      <c r="A130" s="226" t="s">
        <v>330</v>
      </c>
      <c r="B130" s="220" t="s">
        <v>331</v>
      </c>
      <c r="C130" s="210">
        <f t="shared" si="3"/>
        <v>0</v>
      </c>
      <c r="D130" s="211">
        <f t="shared" si="3"/>
        <v>1034338.4799999981</v>
      </c>
      <c r="E130" s="212"/>
      <c r="F130" s="211">
        <f t="shared" si="4"/>
        <v>1034338.4799999981</v>
      </c>
      <c r="G130" s="231"/>
      <c r="H130" s="231"/>
      <c r="I130" s="216"/>
      <c r="J130" s="216"/>
      <c r="K130" s="221"/>
      <c r="L130" s="221"/>
      <c r="M130" s="216"/>
      <c r="N130" s="216"/>
      <c r="O130" s="222"/>
      <c r="P130" s="223">
        <v>1034338.4799999981</v>
      </c>
    </row>
    <row r="131" spans="1:16" x14ac:dyDescent="0.35">
      <c r="A131" s="226" t="s">
        <v>332</v>
      </c>
      <c r="B131" s="220" t="s">
        <v>333</v>
      </c>
      <c r="C131" s="210">
        <f t="shared" si="3"/>
        <v>0</v>
      </c>
      <c r="D131" s="211">
        <f t="shared" si="3"/>
        <v>177876.7349999999</v>
      </c>
      <c r="E131" s="212"/>
      <c r="F131" s="211">
        <f t="shared" si="4"/>
        <v>177876.7349999999</v>
      </c>
      <c r="G131" s="231"/>
      <c r="H131" s="221"/>
      <c r="I131" s="216"/>
      <c r="J131" s="216"/>
      <c r="K131" s="221"/>
      <c r="L131" s="221"/>
      <c r="M131" s="216"/>
      <c r="N131" s="216"/>
      <c r="O131" s="222"/>
      <c r="P131" s="223">
        <v>177876.7349999999</v>
      </c>
    </row>
    <row r="132" spans="1:16" x14ac:dyDescent="0.35">
      <c r="A132" s="226" t="s">
        <v>334</v>
      </c>
      <c r="B132" s="220" t="s">
        <v>335</v>
      </c>
      <c r="C132" s="210">
        <f t="shared" si="3"/>
        <v>0</v>
      </c>
      <c r="D132" s="211">
        <f t="shared" si="3"/>
        <v>112261.70999999995</v>
      </c>
      <c r="E132" s="212">
        <v>0</v>
      </c>
      <c r="F132" s="211">
        <f t="shared" si="4"/>
        <v>112261.70999999995</v>
      </c>
      <c r="G132" s="231"/>
      <c r="H132" s="221"/>
      <c r="I132" s="216"/>
      <c r="J132" s="216"/>
      <c r="K132" s="221"/>
      <c r="L132" s="221"/>
      <c r="M132" s="216"/>
      <c r="N132" s="216"/>
      <c r="O132" s="222">
        <v>0</v>
      </c>
      <c r="P132" s="223">
        <v>112261.70999999995</v>
      </c>
    </row>
    <row r="133" spans="1:16" x14ac:dyDescent="0.35">
      <c r="A133" s="226" t="s">
        <v>336</v>
      </c>
      <c r="B133" s="220" t="s">
        <v>337</v>
      </c>
      <c r="C133" s="210">
        <f t="shared" si="3"/>
        <v>0</v>
      </c>
      <c r="D133" s="211">
        <f t="shared" si="3"/>
        <v>497634.31000000023</v>
      </c>
      <c r="E133" s="212"/>
      <c r="F133" s="211">
        <f t="shared" si="4"/>
        <v>497634.31000000023</v>
      </c>
      <c r="G133" s="221"/>
      <c r="H133" s="221"/>
      <c r="I133" s="216"/>
      <c r="J133" s="216"/>
      <c r="K133" s="221"/>
      <c r="L133" s="221"/>
      <c r="M133" s="216"/>
      <c r="N133" s="216"/>
      <c r="O133" s="222"/>
      <c r="P133" s="223">
        <v>497634.31000000023</v>
      </c>
    </row>
    <row r="134" spans="1:16" x14ac:dyDescent="0.35">
      <c r="A134" s="226" t="s">
        <v>338</v>
      </c>
      <c r="B134" s="230" t="s">
        <v>339</v>
      </c>
      <c r="C134" s="210">
        <f t="shared" si="3"/>
        <v>0</v>
      </c>
      <c r="D134" s="211">
        <f t="shared" si="3"/>
        <v>268367.21999999997</v>
      </c>
      <c r="E134" s="212"/>
      <c r="F134" s="211">
        <f t="shared" si="4"/>
        <v>268367.21999999997</v>
      </c>
      <c r="G134" s="221"/>
      <c r="H134" s="221"/>
      <c r="I134" s="216"/>
      <c r="J134" s="216"/>
      <c r="K134" s="221"/>
      <c r="L134" s="221"/>
      <c r="M134" s="216"/>
      <c r="N134" s="216"/>
      <c r="O134" s="222"/>
      <c r="P134" s="223">
        <v>268367.21999999997</v>
      </c>
    </row>
    <row r="135" spans="1:16" x14ac:dyDescent="0.35">
      <c r="A135" s="226" t="s">
        <v>340</v>
      </c>
      <c r="B135" s="232" t="s">
        <v>341</v>
      </c>
      <c r="C135" s="210">
        <f t="shared" si="3"/>
        <v>0</v>
      </c>
      <c r="D135" s="211">
        <f t="shared" si="3"/>
        <v>2204598.4499999988</v>
      </c>
      <c r="E135" s="212"/>
      <c r="F135" s="211">
        <f t="shared" si="4"/>
        <v>2204598.4499999988</v>
      </c>
      <c r="G135" s="221"/>
      <c r="H135" s="221"/>
      <c r="I135" s="216"/>
      <c r="J135" s="216"/>
      <c r="K135" s="221"/>
      <c r="L135" s="221"/>
      <c r="M135" s="216"/>
      <c r="N135" s="216"/>
      <c r="O135" s="222"/>
      <c r="P135" s="223">
        <v>2204598.4499999988</v>
      </c>
    </row>
    <row r="136" spans="1:16" x14ac:dyDescent="0.35">
      <c r="A136" s="226" t="s">
        <v>342</v>
      </c>
      <c r="B136" s="224" t="s">
        <v>343</v>
      </c>
      <c r="C136" s="210">
        <f t="shared" si="3"/>
        <v>0</v>
      </c>
      <c r="D136" s="211">
        <f t="shared" si="3"/>
        <v>682740.30000000226</v>
      </c>
      <c r="E136" s="212"/>
      <c r="F136" s="211">
        <f t="shared" si="4"/>
        <v>682740.30000000226</v>
      </c>
      <c r="G136" s="221"/>
      <c r="H136" s="221"/>
      <c r="I136" s="216"/>
      <c r="J136" s="216"/>
      <c r="K136" s="221"/>
      <c r="L136" s="221"/>
      <c r="M136" s="216"/>
      <c r="N136" s="216"/>
      <c r="O136" s="222"/>
      <c r="P136" s="223">
        <v>682740.30000000226</v>
      </c>
    </row>
    <row r="137" spans="1:16" x14ac:dyDescent="0.35">
      <c r="A137" s="226" t="s">
        <v>344</v>
      </c>
      <c r="B137" s="224" t="s">
        <v>345</v>
      </c>
      <c r="C137" s="210">
        <f t="shared" ref="C137:D200" si="5">G137+O137+I137+K137+M137</f>
        <v>0</v>
      </c>
      <c r="D137" s="211">
        <f t="shared" si="5"/>
        <v>15895527.649999999</v>
      </c>
      <c r="E137" s="212"/>
      <c r="F137" s="211">
        <f t="shared" si="4"/>
        <v>15895527.649999999</v>
      </c>
      <c r="G137" s="221"/>
      <c r="H137" s="221"/>
      <c r="I137" s="216"/>
      <c r="J137" s="216"/>
      <c r="K137" s="221"/>
      <c r="L137" s="221"/>
      <c r="M137" s="216"/>
      <c r="N137" s="216"/>
      <c r="O137" s="222"/>
      <c r="P137" s="223">
        <v>15895527.649999999</v>
      </c>
    </row>
    <row r="138" spans="1:16" x14ac:dyDescent="0.35">
      <c r="A138" s="226" t="s">
        <v>346</v>
      </c>
      <c r="B138" s="224" t="s">
        <v>347</v>
      </c>
      <c r="C138" s="210">
        <f t="shared" si="5"/>
        <v>0</v>
      </c>
      <c r="D138" s="211">
        <f t="shared" si="5"/>
        <v>3509565.4499999969</v>
      </c>
      <c r="E138" s="212"/>
      <c r="F138" s="211">
        <f t="shared" si="4"/>
        <v>3509565.4499999969</v>
      </c>
      <c r="G138" s="221"/>
      <c r="H138" s="221"/>
      <c r="I138" s="216"/>
      <c r="J138" s="216"/>
      <c r="K138" s="221"/>
      <c r="L138" s="221"/>
      <c r="M138" s="216"/>
      <c r="N138" s="216"/>
      <c r="O138" s="222"/>
      <c r="P138" s="223">
        <v>3509565.4499999969</v>
      </c>
    </row>
    <row r="139" spans="1:16" x14ac:dyDescent="0.35">
      <c r="A139" s="226" t="s">
        <v>348</v>
      </c>
      <c r="B139" s="224" t="s">
        <v>349</v>
      </c>
      <c r="C139" s="210">
        <f t="shared" si="5"/>
        <v>0</v>
      </c>
      <c r="D139" s="211">
        <f t="shared" si="5"/>
        <v>16715813.160000004</v>
      </c>
      <c r="E139" s="212"/>
      <c r="F139" s="211">
        <f t="shared" si="4"/>
        <v>16715813.160000004</v>
      </c>
      <c r="G139" s="221"/>
      <c r="H139" s="221"/>
      <c r="I139" s="216"/>
      <c r="J139" s="216"/>
      <c r="K139" s="221"/>
      <c r="L139" s="221"/>
      <c r="M139" s="216"/>
      <c r="N139" s="216"/>
      <c r="O139" s="222"/>
      <c r="P139" s="223">
        <v>16715813.160000004</v>
      </c>
    </row>
    <row r="140" spans="1:16" x14ac:dyDescent="0.35">
      <c r="A140" s="226" t="s">
        <v>350</v>
      </c>
      <c r="B140" s="224" t="s">
        <v>351</v>
      </c>
      <c r="C140" s="210">
        <f t="shared" si="5"/>
        <v>0</v>
      </c>
      <c r="D140" s="211">
        <f t="shared" si="5"/>
        <v>3326689.5799999991</v>
      </c>
      <c r="E140" s="212"/>
      <c r="F140" s="211">
        <f t="shared" si="4"/>
        <v>3326689.5799999991</v>
      </c>
      <c r="G140" s="221"/>
      <c r="H140" s="221"/>
      <c r="I140" s="216"/>
      <c r="J140" s="216"/>
      <c r="K140" s="221"/>
      <c r="L140" s="221"/>
      <c r="M140" s="216"/>
      <c r="N140" s="216"/>
      <c r="O140" s="222"/>
      <c r="P140" s="223">
        <v>3326689.5799999991</v>
      </c>
    </row>
    <row r="141" spans="1:16" x14ac:dyDescent="0.35">
      <c r="A141" s="226" t="s">
        <v>352</v>
      </c>
      <c r="B141" s="232" t="s">
        <v>353</v>
      </c>
      <c r="C141" s="210">
        <f t="shared" si="5"/>
        <v>0</v>
      </c>
      <c r="D141" s="211">
        <f t="shared" si="5"/>
        <v>3575338.9699999974</v>
      </c>
      <c r="E141" s="212"/>
      <c r="F141" s="211">
        <f t="shared" si="4"/>
        <v>3575338.9699999974</v>
      </c>
      <c r="G141" s="221"/>
      <c r="H141" s="221"/>
      <c r="I141" s="216"/>
      <c r="J141" s="216"/>
      <c r="K141" s="221"/>
      <c r="L141" s="221"/>
      <c r="M141" s="216"/>
      <c r="N141" s="216"/>
      <c r="O141" s="222"/>
      <c r="P141" s="223">
        <v>3575338.9699999974</v>
      </c>
    </row>
    <row r="142" spans="1:16" x14ac:dyDescent="0.35">
      <c r="A142" s="226" t="s">
        <v>354</v>
      </c>
      <c r="B142" s="232" t="s">
        <v>355</v>
      </c>
      <c r="C142" s="210">
        <f t="shared" si="5"/>
        <v>0</v>
      </c>
      <c r="D142" s="211">
        <f t="shared" si="5"/>
        <v>552904806.55999994</v>
      </c>
      <c r="E142" s="212"/>
      <c r="F142" s="211">
        <f t="shared" si="4"/>
        <v>552904806.55999994</v>
      </c>
      <c r="G142" s="221"/>
      <c r="H142" s="221"/>
      <c r="I142" s="216"/>
      <c r="J142" s="216"/>
      <c r="K142" s="221"/>
      <c r="L142" s="221"/>
      <c r="M142" s="216"/>
      <c r="N142" s="216"/>
      <c r="O142" s="222"/>
      <c r="P142" s="223">
        <v>552904806.55999994</v>
      </c>
    </row>
    <row r="143" spans="1:16" x14ac:dyDescent="0.35">
      <c r="A143" s="226" t="s">
        <v>356</v>
      </c>
      <c r="B143" s="232" t="s">
        <v>357</v>
      </c>
      <c r="C143" s="210">
        <f t="shared" si="5"/>
        <v>9924352.6499999985</v>
      </c>
      <c r="D143" s="211">
        <f t="shared" si="5"/>
        <v>0</v>
      </c>
      <c r="E143" s="212">
        <f>C143-D143</f>
        <v>9924352.6499999985</v>
      </c>
      <c r="F143" s="211">
        <v>0</v>
      </c>
      <c r="G143" s="221"/>
      <c r="H143" s="221"/>
      <c r="I143" s="216"/>
      <c r="J143" s="216"/>
      <c r="K143" s="221"/>
      <c r="L143" s="221"/>
      <c r="M143" s="216"/>
      <c r="N143" s="216"/>
      <c r="O143" s="222">
        <v>9924352.6499999985</v>
      </c>
      <c r="P143" s="223">
        <v>0</v>
      </c>
    </row>
    <row r="144" spans="1:16" x14ac:dyDescent="0.35">
      <c r="A144" s="226" t="s">
        <v>358</v>
      </c>
      <c r="B144" s="224" t="s">
        <v>359</v>
      </c>
      <c r="C144" s="210">
        <f t="shared" si="5"/>
        <v>0</v>
      </c>
      <c r="D144" s="211">
        <f t="shared" si="5"/>
        <v>0</v>
      </c>
      <c r="E144" s="212"/>
      <c r="F144" s="211">
        <f>D144-C144</f>
        <v>0</v>
      </c>
      <c r="G144" s="221"/>
      <c r="H144" s="221"/>
      <c r="I144" s="216"/>
      <c r="J144" s="216"/>
      <c r="K144" s="221"/>
      <c r="L144" s="221"/>
      <c r="M144" s="216"/>
      <c r="N144" s="216"/>
      <c r="O144" s="222"/>
      <c r="P144" s="223">
        <v>0</v>
      </c>
    </row>
    <row r="145" spans="1:16" x14ac:dyDescent="0.35">
      <c r="A145" s="226" t="s">
        <v>360</v>
      </c>
      <c r="B145" s="224" t="s">
        <v>361</v>
      </c>
      <c r="C145" s="210">
        <f t="shared" si="5"/>
        <v>0</v>
      </c>
      <c r="D145" s="211">
        <f t="shared" si="5"/>
        <v>460165.56</v>
      </c>
      <c r="E145" s="212"/>
      <c r="F145" s="211">
        <f>D145-C145</f>
        <v>460165.56</v>
      </c>
      <c r="G145" s="221"/>
      <c r="H145" s="221"/>
      <c r="I145" s="216"/>
      <c r="J145" s="216"/>
      <c r="K145" s="221"/>
      <c r="L145" s="221"/>
      <c r="M145" s="216"/>
      <c r="N145" s="216"/>
      <c r="O145" s="222"/>
      <c r="P145" s="223">
        <v>460165.56</v>
      </c>
    </row>
    <row r="146" spans="1:16" x14ac:dyDescent="0.35">
      <c r="A146" s="226" t="s">
        <v>362</v>
      </c>
      <c r="B146" s="224" t="s">
        <v>363</v>
      </c>
      <c r="C146" s="210">
        <f t="shared" si="5"/>
        <v>0</v>
      </c>
      <c r="D146" s="211">
        <f t="shared" si="5"/>
        <v>850864.22000000009</v>
      </c>
      <c r="E146" s="212"/>
      <c r="F146" s="211">
        <f>D146-C146</f>
        <v>850864.22000000009</v>
      </c>
      <c r="G146" s="221"/>
      <c r="H146" s="221"/>
      <c r="I146" s="216"/>
      <c r="J146" s="216"/>
      <c r="K146" s="221"/>
      <c r="L146" s="221"/>
      <c r="M146" s="216"/>
      <c r="N146" s="216"/>
      <c r="O146" s="222"/>
      <c r="P146" s="223">
        <v>850864.22000000009</v>
      </c>
    </row>
    <row r="147" spans="1:16" x14ac:dyDescent="0.35">
      <c r="A147" s="226" t="s">
        <v>364</v>
      </c>
      <c r="B147" s="224" t="s">
        <v>365</v>
      </c>
      <c r="C147" s="210">
        <f t="shared" si="5"/>
        <v>45688.37999999999</v>
      </c>
      <c r="D147" s="211">
        <f t="shared" si="5"/>
        <v>0</v>
      </c>
      <c r="E147" s="212">
        <f>C147-D147</f>
        <v>45688.37999999999</v>
      </c>
      <c r="F147" s="211"/>
      <c r="G147" s="221"/>
      <c r="H147" s="221"/>
      <c r="I147" s="216"/>
      <c r="J147" s="216"/>
      <c r="K147" s="221"/>
      <c r="L147" s="221"/>
      <c r="M147" s="216"/>
      <c r="N147" s="216"/>
      <c r="O147" s="222">
        <v>45688.37999999999</v>
      </c>
      <c r="P147" s="223"/>
    </row>
    <row r="148" spans="1:16" x14ac:dyDescent="0.35">
      <c r="A148" s="226" t="s">
        <v>366</v>
      </c>
      <c r="B148" s="224" t="s">
        <v>367</v>
      </c>
      <c r="C148" s="210">
        <f t="shared" si="5"/>
        <v>0</v>
      </c>
      <c r="D148" s="211">
        <f t="shared" si="5"/>
        <v>5043927.2299999995</v>
      </c>
      <c r="E148" s="212"/>
      <c r="F148" s="211">
        <f t="shared" ref="F148:F185" si="6">D148-C148</f>
        <v>5043927.2299999995</v>
      </c>
      <c r="G148" s="221"/>
      <c r="H148" s="221"/>
      <c r="I148" s="216"/>
      <c r="J148" s="216"/>
      <c r="K148" s="221"/>
      <c r="L148" s="221"/>
      <c r="M148" s="216"/>
      <c r="N148" s="216"/>
      <c r="O148" s="222"/>
      <c r="P148" s="223">
        <v>5043927.2299999995</v>
      </c>
    </row>
    <row r="149" spans="1:16" x14ac:dyDescent="0.35">
      <c r="A149" s="226" t="s">
        <v>368</v>
      </c>
      <c r="B149" s="224" t="s">
        <v>369</v>
      </c>
      <c r="C149" s="210">
        <f t="shared" si="5"/>
        <v>0</v>
      </c>
      <c r="D149" s="211">
        <f t="shared" si="5"/>
        <v>96402.499999999985</v>
      </c>
      <c r="E149" s="212"/>
      <c r="F149" s="211">
        <f t="shared" si="6"/>
        <v>96402.499999999985</v>
      </c>
      <c r="G149" s="221"/>
      <c r="H149" s="221"/>
      <c r="I149" s="216"/>
      <c r="J149" s="216"/>
      <c r="K149" s="221"/>
      <c r="L149" s="221"/>
      <c r="M149" s="216"/>
      <c r="N149" s="216"/>
      <c r="O149" s="222"/>
      <c r="P149" s="223">
        <v>96402.499999999985</v>
      </c>
    </row>
    <row r="150" spans="1:16" x14ac:dyDescent="0.35">
      <c r="A150" s="226" t="s">
        <v>370</v>
      </c>
      <c r="B150" s="224" t="s">
        <v>371</v>
      </c>
      <c r="C150" s="210">
        <f t="shared" si="5"/>
        <v>0</v>
      </c>
      <c r="D150" s="211">
        <f t="shared" si="5"/>
        <v>47116</v>
      </c>
      <c r="E150" s="212"/>
      <c r="F150" s="211">
        <f t="shared" si="6"/>
        <v>47116</v>
      </c>
      <c r="G150" s="221"/>
      <c r="H150" s="221"/>
      <c r="I150" s="216"/>
      <c r="J150" s="216"/>
      <c r="K150" s="221"/>
      <c r="L150" s="221"/>
      <c r="M150" s="216"/>
      <c r="N150" s="216"/>
      <c r="O150" s="222"/>
      <c r="P150" s="223">
        <v>47116</v>
      </c>
    </row>
    <row r="151" spans="1:16" x14ac:dyDescent="0.35">
      <c r="A151" s="226" t="s">
        <v>372</v>
      </c>
      <c r="B151" s="224" t="s">
        <v>373</v>
      </c>
      <c r="C151" s="210">
        <f t="shared" si="5"/>
        <v>0</v>
      </c>
      <c r="D151" s="211">
        <f t="shared" si="5"/>
        <v>0</v>
      </c>
      <c r="E151" s="212"/>
      <c r="F151" s="211">
        <f t="shared" si="6"/>
        <v>0</v>
      </c>
      <c r="G151" s="221"/>
      <c r="H151" s="221"/>
      <c r="I151" s="216"/>
      <c r="J151" s="216"/>
      <c r="K151" s="221"/>
      <c r="L151" s="221"/>
      <c r="M151" s="216"/>
      <c r="N151" s="216"/>
      <c r="O151" s="222"/>
      <c r="P151" s="223">
        <v>0</v>
      </c>
    </row>
    <row r="152" spans="1:16" x14ac:dyDescent="0.35">
      <c r="A152" s="226" t="s">
        <v>374</v>
      </c>
      <c r="B152" s="224" t="s">
        <v>375</v>
      </c>
      <c r="C152" s="210">
        <f t="shared" si="5"/>
        <v>0</v>
      </c>
      <c r="D152" s="211">
        <f t="shared" si="5"/>
        <v>9250</v>
      </c>
      <c r="E152" s="212"/>
      <c r="F152" s="211">
        <f t="shared" si="6"/>
        <v>9250</v>
      </c>
      <c r="G152" s="221"/>
      <c r="H152" s="221"/>
      <c r="I152" s="216"/>
      <c r="J152" s="216"/>
      <c r="K152" s="221"/>
      <c r="L152" s="221"/>
      <c r="M152" s="216"/>
      <c r="N152" s="216"/>
      <c r="O152" s="222"/>
      <c r="P152" s="223">
        <v>9250</v>
      </c>
    </row>
    <row r="153" spans="1:16" x14ac:dyDescent="0.35">
      <c r="A153" s="226" t="s">
        <v>610</v>
      </c>
      <c r="B153" s="224" t="s">
        <v>376</v>
      </c>
      <c r="C153" s="210">
        <f t="shared" si="5"/>
        <v>0</v>
      </c>
      <c r="D153" s="211">
        <f t="shared" si="5"/>
        <v>7298.7999999999975</v>
      </c>
      <c r="E153" s="212"/>
      <c r="F153" s="211">
        <f t="shared" si="6"/>
        <v>7298.7999999999975</v>
      </c>
      <c r="G153" s="221"/>
      <c r="H153" s="221"/>
      <c r="I153" s="216"/>
      <c r="J153" s="216"/>
      <c r="K153" s="221"/>
      <c r="L153" s="221"/>
      <c r="M153" s="216"/>
      <c r="N153" s="216"/>
      <c r="O153" s="222"/>
      <c r="P153" s="223">
        <v>7298.7999999999975</v>
      </c>
    </row>
    <row r="154" spans="1:16" x14ac:dyDescent="0.35">
      <c r="A154" s="226" t="s">
        <v>611</v>
      </c>
      <c r="B154" s="224" t="s">
        <v>377</v>
      </c>
      <c r="C154" s="210">
        <f t="shared" si="5"/>
        <v>0</v>
      </c>
      <c r="D154" s="211">
        <f t="shared" si="5"/>
        <v>50672.5</v>
      </c>
      <c r="E154" s="212"/>
      <c r="F154" s="211">
        <f t="shared" si="6"/>
        <v>50672.5</v>
      </c>
      <c r="G154" s="221"/>
      <c r="H154" s="221"/>
      <c r="I154" s="216"/>
      <c r="J154" s="216"/>
      <c r="K154" s="221"/>
      <c r="L154" s="221"/>
      <c r="M154" s="216"/>
      <c r="N154" s="216"/>
      <c r="O154" s="222"/>
      <c r="P154" s="223">
        <v>50672.5</v>
      </c>
    </row>
    <row r="155" spans="1:16" ht="28" x14ac:dyDescent="0.35">
      <c r="A155" s="233" t="s">
        <v>378</v>
      </c>
      <c r="B155" s="224" t="s">
        <v>379</v>
      </c>
      <c r="C155" s="210">
        <f t="shared" si="5"/>
        <v>0</v>
      </c>
      <c r="D155" s="211">
        <f t="shared" si="5"/>
        <v>61549.2</v>
      </c>
      <c r="E155" s="212"/>
      <c r="F155" s="211">
        <f t="shared" si="6"/>
        <v>61549.2</v>
      </c>
      <c r="G155" s="221"/>
      <c r="H155" s="221"/>
      <c r="I155" s="216"/>
      <c r="J155" s="216"/>
      <c r="K155" s="221"/>
      <c r="L155" s="221"/>
      <c r="M155" s="216"/>
      <c r="N155" s="216"/>
      <c r="O155" s="222"/>
      <c r="P155" s="223">
        <v>61549.2</v>
      </c>
    </row>
    <row r="156" spans="1:16" x14ac:dyDescent="0.35">
      <c r="A156" s="226" t="s">
        <v>380</v>
      </c>
      <c r="B156" s="224" t="s">
        <v>381</v>
      </c>
      <c r="C156" s="210">
        <f t="shared" si="5"/>
        <v>0</v>
      </c>
      <c r="D156" s="211">
        <f t="shared" si="5"/>
        <v>156221210</v>
      </c>
      <c r="E156" s="212"/>
      <c r="F156" s="211">
        <f t="shared" si="6"/>
        <v>156221210</v>
      </c>
      <c r="G156" s="221"/>
      <c r="H156" s="221"/>
      <c r="I156" s="216"/>
      <c r="J156" s="216"/>
      <c r="K156" s="221"/>
      <c r="L156" s="221"/>
      <c r="M156" s="216"/>
      <c r="N156" s="216"/>
      <c r="O156" s="222"/>
      <c r="P156" s="223">
        <v>156221210</v>
      </c>
    </row>
    <row r="157" spans="1:16" x14ac:dyDescent="0.35">
      <c r="A157" s="226" t="s">
        <v>382</v>
      </c>
      <c r="B157" s="224" t="s">
        <v>383</v>
      </c>
      <c r="C157" s="210">
        <f t="shared" si="5"/>
        <v>0</v>
      </c>
      <c r="D157" s="211">
        <f t="shared" si="5"/>
        <v>15680</v>
      </c>
      <c r="E157" s="212"/>
      <c r="F157" s="211">
        <f t="shared" si="6"/>
        <v>15680</v>
      </c>
      <c r="G157" s="221"/>
      <c r="H157" s="221"/>
      <c r="I157" s="216"/>
      <c r="J157" s="216"/>
      <c r="K157" s="221"/>
      <c r="L157" s="221"/>
      <c r="M157" s="216"/>
      <c r="N157" s="216"/>
      <c r="O157" s="222"/>
      <c r="P157" s="223">
        <v>15680</v>
      </c>
    </row>
    <row r="158" spans="1:16" x14ac:dyDescent="0.35">
      <c r="A158" s="226" t="s">
        <v>384</v>
      </c>
      <c r="B158" s="224" t="s">
        <v>385</v>
      </c>
      <c r="C158" s="210">
        <f t="shared" si="5"/>
        <v>0</v>
      </c>
      <c r="D158" s="211">
        <f t="shared" si="5"/>
        <v>1717870.9999999998</v>
      </c>
      <c r="E158" s="212"/>
      <c r="F158" s="211">
        <f t="shared" si="6"/>
        <v>1717870.9999999998</v>
      </c>
      <c r="G158" s="221"/>
      <c r="H158" s="221"/>
      <c r="I158" s="216"/>
      <c r="J158" s="216"/>
      <c r="K158" s="221"/>
      <c r="L158" s="221"/>
      <c r="M158" s="216"/>
      <c r="N158" s="216"/>
      <c r="O158" s="222"/>
      <c r="P158" s="223">
        <v>1717870.9999999998</v>
      </c>
    </row>
    <row r="159" spans="1:16" x14ac:dyDescent="0.35">
      <c r="A159" s="226" t="s">
        <v>386</v>
      </c>
      <c r="B159" s="224" t="s">
        <v>387</v>
      </c>
      <c r="C159" s="210">
        <f t="shared" si="5"/>
        <v>0</v>
      </c>
      <c r="D159" s="211">
        <f t="shared" si="5"/>
        <v>458217</v>
      </c>
      <c r="E159" s="212"/>
      <c r="F159" s="211">
        <f t="shared" si="6"/>
        <v>458217</v>
      </c>
      <c r="G159" s="221"/>
      <c r="H159" s="221"/>
      <c r="I159" s="216"/>
      <c r="J159" s="216"/>
      <c r="K159" s="221"/>
      <c r="L159" s="221"/>
      <c r="M159" s="216"/>
      <c r="N159" s="216"/>
      <c r="O159" s="222"/>
      <c r="P159" s="223">
        <v>458217</v>
      </c>
    </row>
    <row r="160" spans="1:16" x14ac:dyDescent="0.35">
      <c r="A160" s="226" t="s">
        <v>388</v>
      </c>
      <c r="B160" s="224" t="s">
        <v>389</v>
      </c>
      <c r="C160" s="210">
        <f t="shared" si="5"/>
        <v>0</v>
      </c>
      <c r="D160" s="211">
        <f t="shared" si="5"/>
        <v>56745</v>
      </c>
      <c r="E160" s="212"/>
      <c r="F160" s="211">
        <f t="shared" si="6"/>
        <v>56745</v>
      </c>
      <c r="G160" s="221"/>
      <c r="H160" s="221"/>
      <c r="I160" s="216"/>
      <c r="J160" s="216"/>
      <c r="K160" s="221"/>
      <c r="L160" s="221"/>
      <c r="M160" s="216"/>
      <c r="N160" s="216"/>
      <c r="O160" s="222"/>
      <c r="P160" s="223">
        <v>56745</v>
      </c>
    </row>
    <row r="161" spans="1:16" x14ac:dyDescent="0.35">
      <c r="A161" s="226" t="s">
        <v>390</v>
      </c>
      <c r="B161" s="224" t="s">
        <v>391</v>
      </c>
      <c r="C161" s="210">
        <f t="shared" si="5"/>
        <v>0</v>
      </c>
      <c r="D161" s="211">
        <f t="shared" si="5"/>
        <v>721625</v>
      </c>
      <c r="E161" s="212"/>
      <c r="F161" s="211">
        <f t="shared" si="6"/>
        <v>721625</v>
      </c>
      <c r="G161" s="221"/>
      <c r="H161" s="221"/>
      <c r="I161" s="216"/>
      <c r="J161" s="216"/>
      <c r="K161" s="221"/>
      <c r="L161" s="221"/>
      <c r="M161" s="216"/>
      <c r="N161" s="216"/>
      <c r="O161" s="222"/>
      <c r="P161" s="223">
        <v>721625</v>
      </c>
    </row>
    <row r="162" spans="1:16" x14ac:dyDescent="0.35">
      <c r="A162" s="226" t="s">
        <v>392</v>
      </c>
      <c r="B162" s="224" t="s">
        <v>393</v>
      </c>
      <c r="C162" s="210">
        <f t="shared" si="5"/>
        <v>0</v>
      </c>
      <c r="D162" s="211">
        <f t="shared" si="5"/>
        <v>24360</v>
      </c>
      <c r="E162" s="212"/>
      <c r="F162" s="211">
        <f t="shared" si="6"/>
        <v>24360</v>
      </c>
      <c r="G162" s="221"/>
      <c r="H162" s="221"/>
      <c r="I162" s="216"/>
      <c r="J162" s="216"/>
      <c r="K162" s="221"/>
      <c r="L162" s="221"/>
      <c r="M162" s="216"/>
      <c r="N162" s="216"/>
      <c r="O162" s="222"/>
      <c r="P162" s="223">
        <v>24360</v>
      </c>
    </row>
    <row r="163" spans="1:16" x14ac:dyDescent="0.35">
      <c r="A163" s="226" t="s">
        <v>394</v>
      </c>
      <c r="B163" s="224" t="s">
        <v>395</v>
      </c>
      <c r="C163" s="210">
        <f t="shared" si="5"/>
        <v>0</v>
      </c>
      <c r="D163" s="211">
        <f t="shared" si="5"/>
        <v>605003.91999999993</v>
      </c>
      <c r="E163" s="212"/>
      <c r="F163" s="211">
        <f t="shared" si="6"/>
        <v>605003.91999999993</v>
      </c>
      <c r="G163" s="221"/>
      <c r="H163" s="221"/>
      <c r="I163" s="216"/>
      <c r="J163" s="216"/>
      <c r="K163" s="221"/>
      <c r="L163" s="221"/>
      <c r="M163" s="216"/>
      <c r="N163" s="216"/>
      <c r="O163" s="222"/>
      <c r="P163" s="223">
        <v>605003.91999999993</v>
      </c>
    </row>
    <row r="164" spans="1:16" x14ac:dyDescent="0.35">
      <c r="A164" s="226" t="s">
        <v>396</v>
      </c>
      <c r="B164" s="224" t="s">
        <v>397</v>
      </c>
      <c r="C164" s="210">
        <f t="shared" si="5"/>
        <v>0</v>
      </c>
      <c r="D164" s="211">
        <f t="shared" si="5"/>
        <v>127300</v>
      </c>
      <c r="E164" s="212"/>
      <c r="F164" s="211">
        <f t="shared" si="6"/>
        <v>127300</v>
      </c>
      <c r="G164" s="221"/>
      <c r="H164" s="221"/>
      <c r="I164" s="216"/>
      <c r="J164" s="216"/>
      <c r="K164" s="221"/>
      <c r="L164" s="221"/>
      <c r="M164" s="216"/>
      <c r="N164" s="216"/>
      <c r="O164" s="222"/>
      <c r="P164" s="223">
        <v>127300</v>
      </c>
    </row>
    <row r="165" spans="1:16" x14ac:dyDescent="0.35">
      <c r="A165" s="226" t="s">
        <v>398</v>
      </c>
      <c r="B165" s="224" t="s">
        <v>399</v>
      </c>
      <c r="C165" s="210">
        <f t="shared" si="5"/>
        <v>0</v>
      </c>
      <c r="D165" s="211">
        <f t="shared" si="5"/>
        <v>18625</v>
      </c>
      <c r="E165" s="212"/>
      <c r="F165" s="211">
        <f t="shared" si="6"/>
        <v>18625</v>
      </c>
      <c r="G165" s="221"/>
      <c r="H165" s="221"/>
      <c r="I165" s="216"/>
      <c r="J165" s="216"/>
      <c r="K165" s="221"/>
      <c r="L165" s="221"/>
      <c r="M165" s="216"/>
      <c r="N165" s="216"/>
      <c r="O165" s="222"/>
      <c r="P165" s="223">
        <v>18625</v>
      </c>
    </row>
    <row r="166" spans="1:16" x14ac:dyDescent="0.35">
      <c r="A166" s="226" t="s">
        <v>400</v>
      </c>
      <c r="B166" s="224" t="s">
        <v>401</v>
      </c>
      <c r="C166" s="210">
        <f t="shared" si="5"/>
        <v>0</v>
      </c>
      <c r="D166" s="211">
        <f t="shared" si="5"/>
        <v>21440</v>
      </c>
      <c r="E166" s="212"/>
      <c r="F166" s="211">
        <f t="shared" si="6"/>
        <v>21440</v>
      </c>
      <c r="G166" s="221"/>
      <c r="H166" s="221"/>
      <c r="I166" s="216"/>
      <c r="J166" s="216"/>
      <c r="K166" s="221"/>
      <c r="L166" s="221"/>
      <c r="M166" s="216"/>
      <c r="N166" s="216"/>
      <c r="O166" s="222"/>
      <c r="P166" s="223">
        <v>21440</v>
      </c>
    </row>
    <row r="167" spans="1:16" x14ac:dyDescent="0.35">
      <c r="A167" s="226" t="s">
        <v>402</v>
      </c>
      <c r="B167" s="224" t="s">
        <v>403</v>
      </c>
      <c r="C167" s="210">
        <f t="shared" si="5"/>
        <v>0</v>
      </c>
      <c r="D167" s="211">
        <f t="shared" si="5"/>
        <v>283173</v>
      </c>
      <c r="E167" s="212"/>
      <c r="F167" s="211">
        <f t="shared" si="6"/>
        <v>283173</v>
      </c>
      <c r="G167" s="221"/>
      <c r="H167" s="221"/>
      <c r="I167" s="216"/>
      <c r="J167" s="216"/>
      <c r="K167" s="221"/>
      <c r="L167" s="221"/>
      <c r="M167" s="216"/>
      <c r="N167" s="216"/>
      <c r="O167" s="222"/>
      <c r="P167" s="223">
        <v>283173</v>
      </c>
    </row>
    <row r="168" spans="1:16" x14ac:dyDescent="0.35">
      <c r="A168" s="226" t="s">
        <v>404</v>
      </c>
      <c r="B168" s="224" t="s">
        <v>405</v>
      </c>
      <c r="C168" s="210">
        <f t="shared" si="5"/>
        <v>0</v>
      </c>
      <c r="D168" s="211">
        <f t="shared" si="5"/>
        <v>0</v>
      </c>
      <c r="E168" s="212"/>
      <c r="F168" s="211">
        <f t="shared" si="6"/>
        <v>0</v>
      </c>
      <c r="G168" s="221"/>
      <c r="H168" s="221"/>
      <c r="I168" s="216"/>
      <c r="J168" s="216"/>
      <c r="K168" s="221"/>
      <c r="L168" s="221"/>
      <c r="M168" s="216"/>
      <c r="N168" s="216"/>
      <c r="O168" s="222"/>
      <c r="P168" s="223">
        <v>0</v>
      </c>
    </row>
    <row r="169" spans="1:16" x14ac:dyDescent="0.35">
      <c r="A169" s="226" t="s">
        <v>406</v>
      </c>
      <c r="B169" s="224" t="s">
        <v>407</v>
      </c>
      <c r="C169" s="210">
        <f t="shared" si="5"/>
        <v>0</v>
      </c>
      <c r="D169" s="211">
        <f t="shared" si="5"/>
        <v>258027.64</v>
      </c>
      <c r="E169" s="212"/>
      <c r="F169" s="211">
        <f t="shared" si="6"/>
        <v>258027.64</v>
      </c>
      <c r="G169" s="221"/>
      <c r="H169" s="221"/>
      <c r="I169" s="216"/>
      <c r="J169" s="216"/>
      <c r="K169" s="221"/>
      <c r="L169" s="221"/>
      <c r="M169" s="216"/>
      <c r="N169" s="216"/>
      <c r="O169" s="222"/>
      <c r="P169" s="223">
        <v>258027.64</v>
      </c>
    </row>
    <row r="170" spans="1:16" x14ac:dyDescent="0.35">
      <c r="A170" s="226" t="s">
        <v>408</v>
      </c>
      <c r="B170" s="224" t="s">
        <v>409</v>
      </c>
      <c r="C170" s="210">
        <f t="shared" si="5"/>
        <v>0</v>
      </c>
      <c r="D170" s="211">
        <f t="shared" si="5"/>
        <v>2189042.5</v>
      </c>
      <c r="E170" s="212"/>
      <c r="F170" s="211">
        <f t="shared" si="6"/>
        <v>2189042.5</v>
      </c>
      <c r="G170" s="221"/>
      <c r="H170" s="221"/>
      <c r="I170" s="216"/>
      <c r="J170" s="216"/>
      <c r="K170" s="221"/>
      <c r="L170" s="221"/>
      <c r="M170" s="216"/>
      <c r="N170" s="216"/>
      <c r="O170" s="222"/>
      <c r="P170" s="223">
        <v>2189042.5</v>
      </c>
    </row>
    <row r="171" spans="1:16" x14ac:dyDescent="0.35">
      <c r="A171" s="226" t="s">
        <v>410</v>
      </c>
      <c r="B171" s="224" t="s">
        <v>411</v>
      </c>
      <c r="C171" s="210">
        <f t="shared" si="5"/>
        <v>0</v>
      </c>
      <c r="D171" s="211">
        <f t="shared" si="5"/>
        <v>62875</v>
      </c>
      <c r="E171" s="212"/>
      <c r="F171" s="211">
        <f t="shared" si="6"/>
        <v>62875</v>
      </c>
      <c r="G171" s="221"/>
      <c r="H171" s="221"/>
      <c r="I171" s="216"/>
      <c r="J171" s="216"/>
      <c r="K171" s="221"/>
      <c r="L171" s="221"/>
      <c r="M171" s="216"/>
      <c r="N171" s="216"/>
      <c r="O171" s="222"/>
      <c r="P171" s="223">
        <v>62875</v>
      </c>
    </row>
    <row r="172" spans="1:16" x14ac:dyDescent="0.35">
      <c r="A172" s="226" t="s">
        <v>412</v>
      </c>
      <c r="B172" s="224" t="s">
        <v>413</v>
      </c>
      <c r="C172" s="210">
        <f t="shared" si="5"/>
        <v>0</v>
      </c>
      <c r="D172" s="211">
        <f t="shared" si="5"/>
        <v>6694579.1399999997</v>
      </c>
      <c r="E172" s="212"/>
      <c r="F172" s="211">
        <f t="shared" si="6"/>
        <v>6694579.1399999997</v>
      </c>
      <c r="G172" s="221"/>
      <c r="H172" s="221"/>
      <c r="I172" s="216"/>
      <c r="J172" s="216"/>
      <c r="K172" s="221"/>
      <c r="L172" s="221"/>
      <c r="M172" s="216"/>
      <c r="N172" s="216"/>
      <c r="O172" s="222"/>
      <c r="P172" s="223">
        <v>6694579.1399999997</v>
      </c>
    </row>
    <row r="173" spans="1:16" x14ac:dyDescent="0.35">
      <c r="A173" s="226" t="s">
        <v>414</v>
      </c>
      <c r="B173" s="224" t="s">
        <v>415</v>
      </c>
      <c r="C173" s="210">
        <f t="shared" si="5"/>
        <v>0</v>
      </c>
      <c r="D173" s="211">
        <f t="shared" si="5"/>
        <v>657660</v>
      </c>
      <c r="E173" s="212"/>
      <c r="F173" s="211">
        <f t="shared" si="6"/>
        <v>657660</v>
      </c>
      <c r="G173" s="221"/>
      <c r="H173" s="221"/>
      <c r="I173" s="216"/>
      <c r="J173" s="216"/>
      <c r="K173" s="221"/>
      <c r="L173" s="221"/>
      <c r="M173" s="216"/>
      <c r="N173" s="216"/>
      <c r="O173" s="222"/>
      <c r="P173" s="223">
        <v>657660</v>
      </c>
    </row>
    <row r="174" spans="1:16" x14ac:dyDescent="0.35">
      <c r="A174" s="226" t="s">
        <v>416</v>
      </c>
      <c r="B174" s="224" t="s">
        <v>417</v>
      </c>
      <c r="C174" s="210">
        <f t="shared" si="5"/>
        <v>0</v>
      </c>
      <c r="D174" s="211">
        <f t="shared" si="5"/>
        <v>1552217.1</v>
      </c>
      <c r="E174" s="212"/>
      <c r="F174" s="211">
        <f t="shared" si="6"/>
        <v>1552217.1</v>
      </c>
      <c r="G174" s="221"/>
      <c r="H174" s="221"/>
      <c r="I174" s="216"/>
      <c r="J174" s="216"/>
      <c r="K174" s="221"/>
      <c r="L174" s="221"/>
      <c r="M174" s="216"/>
      <c r="N174" s="216"/>
      <c r="O174" s="222"/>
      <c r="P174" s="223">
        <v>1552217.1</v>
      </c>
    </row>
    <row r="175" spans="1:16" x14ac:dyDescent="0.35">
      <c r="A175" s="226" t="s">
        <v>418</v>
      </c>
      <c r="B175" s="224" t="s">
        <v>419</v>
      </c>
      <c r="C175" s="210">
        <f t="shared" si="5"/>
        <v>0</v>
      </c>
      <c r="D175" s="211">
        <f t="shared" si="5"/>
        <v>52050</v>
      </c>
      <c r="E175" s="212"/>
      <c r="F175" s="211">
        <f t="shared" si="6"/>
        <v>52050</v>
      </c>
      <c r="G175" s="221"/>
      <c r="H175" s="221"/>
      <c r="I175" s="216"/>
      <c r="J175" s="216"/>
      <c r="K175" s="221"/>
      <c r="L175" s="221"/>
      <c r="M175" s="216"/>
      <c r="N175" s="216"/>
      <c r="O175" s="222"/>
      <c r="P175" s="223">
        <v>52050</v>
      </c>
    </row>
    <row r="176" spans="1:16" x14ac:dyDescent="0.35">
      <c r="A176" s="226" t="s">
        <v>420</v>
      </c>
      <c r="B176" s="224" t="s">
        <v>421</v>
      </c>
      <c r="C176" s="210">
        <f t="shared" si="5"/>
        <v>0</v>
      </c>
      <c r="D176" s="211">
        <f t="shared" si="5"/>
        <v>215040</v>
      </c>
      <c r="E176" s="212"/>
      <c r="F176" s="211">
        <f t="shared" si="6"/>
        <v>215040</v>
      </c>
      <c r="G176" s="221"/>
      <c r="H176" s="221"/>
      <c r="I176" s="216"/>
      <c r="J176" s="216"/>
      <c r="K176" s="221"/>
      <c r="L176" s="221"/>
      <c r="M176" s="216"/>
      <c r="N176" s="216"/>
      <c r="O176" s="222"/>
      <c r="P176" s="223">
        <v>215040</v>
      </c>
    </row>
    <row r="177" spans="1:16" x14ac:dyDescent="0.35">
      <c r="A177" s="226" t="s">
        <v>422</v>
      </c>
      <c r="B177" s="224" t="s">
        <v>423</v>
      </c>
      <c r="C177" s="210">
        <f t="shared" si="5"/>
        <v>0</v>
      </c>
      <c r="D177" s="211">
        <f t="shared" si="5"/>
        <v>0</v>
      </c>
      <c r="E177" s="212"/>
      <c r="F177" s="211">
        <f t="shared" si="6"/>
        <v>0</v>
      </c>
      <c r="G177" s="221"/>
      <c r="H177" s="221"/>
      <c r="I177" s="216"/>
      <c r="J177" s="216"/>
      <c r="K177" s="221"/>
      <c r="L177" s="221"/>
      <c r="M177" s="216"/>
      <c r="N177" s="216"/>
      <c r="O177" s="222"/>
      <c r="P177" s="223">
        <v>0</v>
      </c>
    </row>
    <row r="178" spans="1:16" x14ac:dyDescent="0.35">
      <c r="A178" s="226" t="s">
        <v>424</v>
      </c>
      <c r="B178" s="224" t="s">
        <v>425</v>
      </c>
      <c r="C178" s="210">
        <f t="shared" si="5"/>
        <v>0</v>
      </c>
      <c r="D178" s="211">
        <f t="shared" si="5"/>
        <v>115187.06000000001</v>
      </c>
      <c r="E178" s="212"/>
      <c r="F178" s="211">
        <f t="shared" si="6"/>
        <v>115187.06000000001</v>
      </c>
      <c r="G178" s="221"/>
      <c r="H178" s="221"/>
      <c r="I178" s="216"/>
      <c r="J178" s="216"/>
      <c r="K178" s="221"/>
      <c r="L178" s="221"/>
      <c r="M178" s="216"/>
      <c r="N178" s="216"/>
      <c r="O178" s="222"/>
      <c r="P178" s="223">
        <v>115187.06000000001</v>
      </c>
    </row>
    <row r="179" spans="1:16" x14ac:dyDescent="0.35">
      <c r="A179" s="226" t="s">
        <v>426</v>
      </c>
      <c r="B179" s="224" t="s">
        <v>427</v>
      </c>
      <c r="C179" s="210">
        <f t="shared" si="5"/>
        <v>0</v>
      </c>
      <c r="D179" s="211">
        <f t="shared" si="5"/>
        <v>213549.84999999998</v>
      </c>
      <c r="E179" s="212"/>
      <c r="F179" s="211">
        <f t="shared" si="6"/>
        <v>213549.84999999998</v>
      </c>
      <c r="G179" s="221"/>
      <c r="H179" s="221"/>
      <c r="I179" s="216"/>
      <c r="J179" s="216"/>
      <c r="K179" s="221"/>
      <c r="L179" s="221"/>
      <c r="M179" s="216"/>
      <c r="N179" s="216"/>
      <c r="O179" s="222"/>
      <c r="P179" s="223">
        <v>213549.84999999998</v>
      </c>
    </row>
    <row r="180" spans="1:16" x14ac:dyDescent="0.35">
      <c r="A180" s="226" t="s">
        <v>428</v>
      </c>
      <c r="B180" s="224" t="s">
        <v>429</v>
      </c>
      <c r="C180" s="210">
        <f t="shared" si="5"/>
        <v>0</v>
      </c>
      <c r="D180" s="211">
        <f t="shared" si="5"/>
        <v>0</v>
      </c>
      <c r="E180" s="212"/>
      <c r="F180" s="211">
        <f t="shared" si="6"/>
        <v>0</v>
      </c>
      <c r="G180" s="221"/>
      <c r="H180" s="221"/>
      <c r="I180" s="216"/>
      <c r="J180" s="216"/>
      <c r="K180" s="221"/>
      <c r="L180" s="221"/>
      <c r="M180" s="216"/>
      <c r="N180" s="216"/>
      <c r="O180" s="222"/>
      <c r="P180" s="223">
        <v>0</v>
      </c>
    </row>
    <row r="181" spans="1:16" x14ac:dyDescent="0.35">
      <c r="A181" s="226" t="s">
        <v>430</v>
      </c>
      <c r="B181" s="224" t="s">
        <v>431</v>
      </c>
      <c r="C181" s="210">
        <f t="shared" si="5"/>
        <v>0</v>
      </c>
      <c r="D181" s="211">
        <f t="shared" si="5"/>
        <v>0</v>
      </c>
      <c r="E181" s="212">
        <f>C181</f>
        <v>0</v>
      </c>
      <c r="F181" s="211">
        <f t="shared" si="6"/>
        <v>0</v>
      </c>
      <c r="G181" s="221"/>
      <c r="H181" s="221"/>
      <c r="I181" s="216"/>
      <c r="J181" s="216"/>
      <c r="K181" s="221"/>
      <c r="L181" s="221"/>
      <c r="M181" s="216"/>
      <c r="N181" s="216"/>
      <c r="O181" s="222">
        <v>0</v>
      </c>
      <c r="P181" s="223">
        <v>0</v>
      </c>
    </row>
    <row r="182" spans="1:16" x14ac:dyDescent="0.35">
      <c r="A182" s="226" t="s">
        <v>432</v>
      </c>
      <c r="B182" s="224" t="s">
        <v>433</v>
      </c>
      <c r="C182" s="210">
        <f t="shared" si="5"/>
        <v>0</v>
      </c>
      <c r="D182" s="211">
        <f t="shared" si="5"/>
        <v>421199.83999999997</v>
      </c>
      <c r="E182" s="212"/>
      <c r="F182" s="211">
        <f t="shared" si="6"/>
        <v>421199.83999999997</v>
      </c>
      <c r="G182" s="221"/>
      <c r="H182" s="221"/>
      <c r="I182" s="216"/>
      <c r="J182" s="216"/>
      <c r="K182" s="221"/>
      <c r="L182" s="221"/>
      <c r="M182" s="216"/>
      <c r="N182" s="216"/>
      <c r="O182" s="222"/>
      <c r="P182" s="223">
        <v>421199.83999999997</v>
      </c>
    </row>
    <row r="183" spans="1:16" x14ac:dyDescent="0.35">
      <c r="A183" s="226" t="s">
        <v>434</v>
      </c>
      <c r="B183" s="224" t="s">
        <v>435</v>
      </c>
      <c r="C183" s="210">
        <f t="shared" si="5"/>
        <v>0</v>
      </c>
      <c r="D183" s="211">
        <f t="shared" si="5"/>
        <v>0</v>
      </c>
      <c r="E183" s="212"/>
      <c r="F183" s="211">
        <f t="shared" si="6"/>
        <v>0</v>
      </c>
      <c r="G183" s="221"/>
      <c r="H183" s="221"/>
      <c r="I183" s="216"/>
      <c r="J183" s="216"/>
      <c r="K183" s="221"/>
      <c r="L183" s="221"/>
      <c r="M183" s="216"/>
      <c r="N183" s="216"/>
      <c r="O183" s="222"/>
      <c r="P183" s="223">
        <v>0</v>
      </c>
    </row>
    <row r="184" spans="1:16" x14ac:dyDescent="0.35">
      <c r="A184" s="226" t="s">
        <v>436</v>
      </c>
      <c r="B184" s="224" t="s">
        <v>437</v>
      </c>
      <c r="C184" s="210">
        <f t="shared" si="5"/>
        <v>0</v>
      </c>
      <c r="D184" s="211">
        <f t="shared" si="5"/>
        <v>0</v>
      </c>
      <c r="E184" s="212"/>
      <c r="F184" s="211">
        <f t="shared" si="6"/>
        <v>0</v>
      </c>
      <c r="G184" s="221"/>
      <c r="H184" s="221"/>
      <c r="I184" s="216"/>
      <c r="J184" s="216"/>
      <c r="K184" s="221"/>
      <c r="L184" s="221"/>
      <c r="M184" s="216"/>
      <c r="N184" s="216"/>
      <c r="O184" s="222"/>
      <c r="P184" s="223">
        <v>0</v>
      </c>
    </row>
    <row r="185" spans="1:16" x14ac:dyDescent="0.35">
      <c r="A185" s="226" t="s">
        <v>438</v>
      </c>
      <c r="B185" s="224" t="s">
        <v>439</v>
      </c>
      <c r="C185" s="210">
        <f t="shared" si="5"/>
        <v>0</v>
      </c>
      <c r="D185" s="211">
        <f t="shared" si="5"/>
        <v>97226.11</v>
      </c>
      <c r="E185" s="212"/>
      <c r="F185" s="211">
        <f t="shared" si="6"/>
        <v>97226.11</v>
      </c>
      <c r="G185" s="221"/>
      <c r="H185" s="221"/>
      <c r="I185" s="216"/>
      <c r="J185" s="216"/>
      <c r="K185" s="221"/>
      <c r="L185" s="221"/>
      <c r="M185" s="216"/>
      <c r="N185" s="216"/>
      <c r="O185" s="222"/>
      <c r="P185" s="223">
        <v>97226.11</v>
      </c>
    </row>
    <row r="186" spans="1:16" x14ac:dyDescent="0.35">
      <c r="A186" s="226" t="s">
        <v>440</v>
      </c>
      <c r="B186" s="232" t="s">
        <v>441</v>
      </c>
      <c r="C186" s="210">
        <f t="shared" si="5"/>
        <v>33851241.150000006</v>
      </c>
      <c r="D186" s="211">
        <f t="shared" si="5"/>
        <v>0</v>
      </c>
      <c r="E186" s="212">
        <f t="shared" ref="E186:E249" si="7">C186-D186</f>
        <v>33851241.150000006</v>
      </c>
      <c r="F186" s="211"/>
      <c r="G186" s="221"/>
      <c r="H186" s="221"/>
      <c r="I186" s="216"/>
      <c r="J186" s="216"/>
      <c r="K186" s="221"/>
      <c r="L186" s="221"/>
      <c r="M186" s="216"/>
      <c r="N186" s="216"/>
      <c r="O186" s="222">
        <v>33851241.150000006</v>
      </c>
      <c r="P186" s="223"/>
    </row>
    <row r="187" spans="1:16" x14ac:dyDescent="0.35">
      <c r="A187" s="226" t="s">
        <v>442</v>
      </c>
      <c r="B187" s="232" t="s">
        <v>443</v>
      </c>
      <c r="C187" s="210">
        <f t="shared" si="5"/>
        <v>2310207.6</v>
      </c>
      <c r="D187" s="211">
        <f t="shared" si="5"/>
        <v>0</v>
      </c>
      <c r="E187" s="212">
        <f t="shared" si="7"/>
        <v>2310207.6</v>
      </c>
      <c r="F187" s="211"/>
      <c r="G187" s="221"/>
      <c r="H187" s="221"/>
      <c r="I187" s="216"/>
      <c r="J187" s="216"/>
      <c r="K187" s="221"/>
      <c r="L187" s="221"/>
      <c r="M187" s="216"/>
      <c r="N187" s="216"/>
      <c r="O187" s="222">
        <v>2310207.6</v>
      </c>
      <c r="P187" s="223"/>
    </row>
    <row r="188" spans="1:16" x14ac:dyDescent="0.35">
      <c r="A188" s="226" t="s">
        <v>444</v>
      </c>
      <c r="B188" s="232" t="s">
        <v>445</v>
      </c>
      <c r="C188" s="210">
        <f t="shared" si="5"/>
        <v>1524457.86</v>
      </c>
      <c r="D188" s="211">
        <f t="shared" si="5"/>
        <v>0</v>
      </c>
      <c r="E188" s="212">
        <f t="shared" si="7"/>
        <v>1524457.86</v>
      </c>
      <c r="F188" s="211"/>
      <c r="G188" s="221"/>
      <c r="H188" s="221"/>
      <c r="I188" s="216"/>
      <c r="J188" s="216"/>
      <c r="K188" s="221"/>
      <c r="L188" s="221"/>
      <c r="M188" s="216"/>
      <c r="N188" s="216"/>
      <c r="O188" s="222">
        <v>1524457.86</v>
      </c>
      <c r="P188" s="223"/>
    </row>
    <row r="189" spans="1:16" x14ac:dyDescent="0.35">
      <c r="A189" s="226" t="s">
        <v>446</v>
      </c>
      <c r="B189" s="232" t="s">
        <v>447</v>
      </c>
      <c r="C189" s="210">
        <f t="shared" si="5"/>
        <v>1452632.8599999999</v>
      </c>
      <c r="D189" s="211">
        <f t="shared" si="5"/>
        <v>0</v>
      </c>
      <c r="E189" s="212">
        <f t="shared" si="7"/>
        <v>1452632.8599999999</v>
      </c>
      <c r="F189" s="211"/>
      <c r="G189" s="221"/>
      <c r="H189" s="221"/>
      <c r="I189" s="216"/>
      <c r="J189" s="216"/>
      <c r="K189" s="221"/>
      <c r="L189" s="221"/>
      <c r="M189" s="216"/>
      <c r="N189" s="216"/>
      <c r="O189" s="222">
        <v>1452632.8599999999</v>
      </c>
      <c r="P189" s="223"/>
    </row>
    <row r="190" spans="1:16" x14ac:dyDescent="0.35">
      <c r="A190" s="226" t="s">
        <v>448</v>
      </c>
      <c r="B190" s="232" t="s">
        <v>449</v>
      </c>
      <c r="C190" s="210">
        <f t="shared" si="5"/>
        <v>826000</v>
      </c>
      <c r="D190" s="211">
        <f t="shared" si="5"/>
        <v>0</v>
      </c>
      <c r="E190" s="212">
        <f t="shared" si="7"/>
        <v>826000</v>
      </c>
      <c r="F190" s="211"/>
      <c r="G190" s="221"/>
      <c r="H190" s="221"/>
      <c r="I190" s="216"/>
      <c r="J190" s="216"/>
      <c r="K190" s="221"/>
      <c r="L190" s="221"/>
      <c r="M190" s="216"/>
      <c r="N190" s="216"/>
      <c r="O190" s="222">
        <v>826000</v>
      </c>
      <c r="P190" s="223"/>
    </row>
    <row r="191" spans="1:16" x14ac:dyDescent="0.35">
      <c r="A191" s="226" t="s">
        <v>450</v>
      </c>
      <c r="B191" s="230" t="s">
        <v>451</v>
      </c>
      <c r="C191" s="210">
        <f t="shared" si="5"/>
        <v>222499.17</v>
      </c>
      <c r="D191" s="211">
        <f t="shared" si="5"/>
        <v>0</v>
      </c>
      <c r="E191" s="212">
        <f t="shared" si="7"/>
        <v>222499.17</v>
      </c>
      <c r="F191" s="211"/>
      <c r="G191" s="221"/>
      <c r="H191" s="221"/>
      <c r="I191" s="216"/>
      <c r="J191" s="216"/>
      <c r="K191" s="221"/>
      <c r="L191" s="221"/>
      <c r="M191" s="216"/>
      <c r="N191" s="216"/>
      <c r="O191" s="222">
        <v>222499.17</v>
      </c>
      <c r="P191" s="223"/>
    </row>
    <row r="192" spans="1:16" x14ac:dyDescent="0.35">
      <c r="A192" s="226" t="s">
        <v>452</v>
      </c>
      <c r="B192" s="220" t="s">
        <v>453</v>
      </c>
      <c r="C192" s="210">
        <f t="shared" si="5"/>
        <v>21340.91</v>
      </c>
      <c r="D192" s="211">
        <f t="shared" si="5"/>
        <v>0</v>
      </c>
      <c r="E192" s="212">
        <f t="shared" si="7"/>
        <v>21340.91</v>
      </c>
      <c r="F192" s="211"/>
      <c r="G192" s="221"/>
      <c r="H192" s="221"/>
      <c r="I192" s="216"/>
      <c r="J192" s="216"/>
      <c r="K192" s="221"/>
      <c r="L192" s="221"/>
      <c r="M192" s="216"/>
      <c r="N192" s="216"/>
      <c r="O192" s="222">
        <v>21340.91</v>
      </c>
      <c r="P192" s="223"/>
    </row>
    <row r="193" spans="1:16" x14ac:dyDescent="0.35">
      <c r="A193" s="226" t="s">
        <v>454</v>
      </c>
      <c r="B193" s="220" t="s">
        <v>455</v>
      </c>
      <c r="C193" s="210">
        <f t="shared" si="5"/>
        <v>0</v>
      </c>
      <c r="D193" s="211">
        <f t="shared" si="5"/>
        <v>0</v>
      </c>
      <c r="E193" s="212">
        <f t="shared" si="7"/>
        <v>0</v>
      </c>
      <c r="F193" s="211"/>
      <c r="G193" s="221"/>
      <c r="H193" s="221"/>
      <c r="I193" s="216"/>
      <c r="J193" s="216"/>
      <c r="K193" s="221"/>
      <c r="L193" s="221"/>
      <c r="M193" s="216"/>
      <c r="N193" s="216"/>
      <c r="O193" s="222">
        <v>0</v>
      </c>
      <c r="P193" s="223"/>
    </row>
    <row r="194" spans="1:16" x14ac:dyDescent="0.35">
      <c r="A194" s="226" t="s">
        <v>456</v>
      </c>
      <c r="B194" s="220" t="s">
        <v>457</v>
      </c>
      <c r="C194" s="210">
        <f t="shared" si="5"/>
        <v>1083565.19</v>
      </c>
      <c r="D194" s="211">
        <f t="shared" si="5"/>
        <v>0</v>
      </c>
      <c r="E194" s="212">
        <f t="shared" si="7"/>
        <v>1083565.19</v>
      </c>
      <c r="F194" s="211"/>
      <c r="G194" s="221"/>
      <c r="H194" s="221"/>
      <c r="I194" s="216"/>
      <c r="J194" s="216"/>
      <c r="K194" s="221"/>
      <c r="L194" s="221"/>
      <c r="M194" s="216"/>
      <c r="N194" s="216"/>
      <c r="O194" s="222">
        <v>1083565.19</v>
      </c>
      <c r="P194" s="223"/>
    </row>
    <row r="195" spans="1:16" x14ac:dyDescent="0.35">
      <c r="A195" s="226" t="s">
        <v>458</v>
      </c>
      <c r="B195" s="220" t="s">
        <v>459</v>
      </c>
      <c r="C195" s="210">
        <f t="shared" si="5"/>
        <v>533852.6</v>
      </c>
      <c r="D195" s="211">
        <f t="shared" si="5"/>
        <v>0</v>
      </c>
      <c r="E195" s="212">
        <f t="shared" si="7"/>
        <v>533852.6</v>
      </c>
      <c r="F195" s="211"/>
      <c r="G195" s="221"/>
      <c r="H195" s="221"/>
      <c r="I195" s="216"/>
      <c r="J195" s="216"/>
      <c r="K195" s="221"/>
      <c r="L195" s="221"/>
      <c r="M195" s="216"/>
      <c r="N195" s="216"/>
      <c r="O195" s="222">
        <v>533852.6</v>
      </c>
      <c r="P195" s="223"/>
    </row>
    <row r="196" spans="1:16" x14ac:dyDescent="0.35">
      <c r="A196" s="226" t="s">
        <v>460</v>
      </c>
      <c r="B196" s="220" t="s">
        <v>461</v>
      </c>
      <c r="C196" s="210">
        <f t="shared" si="5"/>
        <v>0</v>
      </c>
      <c r="D196" s="211">
        <f t="shared" si="5"/>
        <v>0</v>
      </c>
      <c r="E196" s="212">
        <f t="shared" si="7"/>
        <v>0</v>
      </c>
      <c r="F196" s="211"/>
      <c r="G196" s="221"/>
      <c r="H196" s="221"/>
      <c r="I196" s="216"/>
      <c r="J196" s="216"/>
      <c r="K196" s="221"/>
      <c r="L196" s="221"/>
      <c r="M196" s="216"/>
      <c r="N196" s="216"/>
      <c r="O196" s="222">
        <v>0</v>
      </c>
      <c r="P196" s="223"/>
    </row>
    <row r="197" spans="1:16" x14ac:dyDescent="0.35">
      <c r="A197" s="226" t="s">
        <v>462</v>
      </c>
      <c r="B197" s="220" t="s">
        <v>463</v>
      </c>
      <c r="C197" s="210">
        <f t="shared" si="5"/>
        <v>0</v>
      </c>
      <c r="D197" s="211">
        <f t="shared" si="5"/>
        <v>0</v>
      </c>
      <c r="E197" s="212">
        <f t="shared" si="7"/>
        <v>0</v>
      </c>
      <c r="F197" s="211"/>
      <c r="G197" s="221"/>
      <c r="H197" s="221"/>
      <c r="I197" s="216"/>
      <c r="J197" s="216"/>
      <c r="K197" s="221"/>
      <c r="L197" s="221"/>
      <c r="M197" s="216"/>
      <c r="N197" s="216"/>
      <c r="O197" s="222">
        <v>0</v>
      </c>
      <c r="P197" s="223"/>
    </row>
    <row r="198" spans="1:16" x14ac:dyDescent="0.35">
      <c r="A198" s="226" t="s">
        <v>464</v>
      </c>
      <c r="B198" s="220" t="s">
        <v>465</v>
      </c>
      <c r="C198" s="210">
        <f t="shared" si="5"/>
        <v>3255557</v>
      </c>
      <c r="D198" s="211">
        <f t="shared" si="5"/>
        <v>0</v>
      </c>
      <c r="E198" s="212">
        <f t="shared" si="7"/>
        <v>3255557</v>
      </c>
      <c r="F198" s="211"/>
      <c r="G198" s="221"/>
      <c r="H198" s="221"/>
      <c r="I198" s="216"/>
      <c r="J198" s="216"/>
      <c r="K198" s="221"/>
      <c r="L198" s="221"/>
      <c r="M198" s="216"/>
      <c r="N198" s="216"/>
      <c r="O198" s="222">
        <v>3255557</v>
      </c>
      <c r="P198" s="223"/>
    </row>
    <row r="199" spans="1:16" x14ac:dyDescent="0.35">
      <c r="A199" s="226" t="s">
        <v>466</v>
      </c>
      <c r="B199" s="220" t="s">
        <v>467</v>
      </c>
      <c r="C199" s="210">
        <f t="shared" si="5"/>
        <v>3370480.9600000004</v>
      </c>
      <c r="D199" s="211">
        <f t="shared" si="5"/>
        <v>0</v>
      </c>
      <c r="E199" s="212">
        <f t="shared" si="7"/>
        <v>3370480.9600000004</v>
      </c>
      <c r="F199" s="211"/>
      <c r="G199" s="221"/>
      <c r="H199" s="221"/>
      <c r="I199" s="216"/>
      <c r="J199" s="216"/>
      <c r="K199" s="221"/>
      <c r="L199" s="221"/>
      <c r="M199" s="216"/>
      <c r="N199" s="216"/>
      <c r="O199" s="222">
        <v>3370480.9600000004</v>
      </c>
      <c r="P199" s="223"/>
    </row>
    <row r="200" spans="1:16" x14ac:dyDescent="0.35">
      <c r="A200" s="226" t="s">
        <v>468</v>
      </c>
      <c r="B200" s="220" t="s">
        <v>469</v>
      </c>
      <c r="C200" s="210">
        <f t="shared" si="5"/>
        <v>507758.49</v>
      </c>
      <c r="D200" s="211">
        <f t="shared" si="5"/>
        <v>0</v>
      </c>
      <c r="E200" s="212">
        <f t="shared" si="7"/>
        <v>507758.49</v>
      </c>
      <c r="F200" s="211"/>
      <c r="G200" s="221"/>
      <c r="H200" s="221"/>
      <c r="I200" s="216"/>
      <c r="J200" s="216"/>
      <c r="K200" s="221"/>
      <c r="L200" s="221"/>
      <c r="M200" s="216"/>
      <c r="N200" s="216"/>
      <c r="O200" s="222">
        <v>507758.49</v>
      </c>
      <c r="P200" s="223"/>
    </row>
    <row r="201" spans="1:16" x14ac:dyDescent="0.35">
      <c r="A201" s="226" t="s">
        <v>470</v>
      </c>
      <c r="B201" s="220" t="s">
        <v>471</v>
      </c>
      <c r="C201" s="210">
        <f t="shared" ref="C201:D265" si="8">G201+O201+I201+K201+M201</f>
        <v>746112.54999999993</v>
      </c>
      <c r="D201" s="211">
        <f t="shared" si="8"/>
        <v>0</v>
      </c>
      <c r="E201" s="212">
        <f t="shared" si="7"/>
        <v>746112.54999999993</v>
      </c>
      <c r="F201" s="211"/>
      <c r="G201" s="221"/>
      <c r="H201" s="221"/>
      <c r="I201" s="216"/>
      <c r="J201" s="216"/>
      <c r="K201" s="221"/>
      <c r="L201" s="221"/>
      <c r="M201" s="216"/>
      <c r="N201" s="216"/>
      <c r="O201" s="222">
        <v>746112.54999999993</v>
      </c>
      <c r="P201" s="223"/>
    </row>
    <row r="202" spans="1:16" x14ac:dyDescent="0.35">
      <c r="A202" s="226" t="s">
        <v>472</v>
      </c>
      <c r="B202" s="220" t="s">
        <v>473</v>
      </c>
      <c r="C202" s="210">
        <f t="shared" si="8"/>
        <v>101100</v>
      </c>
      <c r="D202" s="211">
        <f t="shared" si="8"/>
        <v>0</v>
      </c>
      <c r="E202" s="212">
        <f t="shared" si="7"/>
        <v>101100</v>
      </c>
      <c r="F202" s="211"/>
      <c r="G202" s="221"/>
      <c r="H202" s="221"/>
      <c r="I202" s="216"/>
      <c r="J202" s="216"/>
      <c r="K202" s="221"/>
      <c r="L202" s="221"/>
      <c r="M202" s="216"/>
      <c r="N202" s="216"/>
      <c r="O202" s="222">
        <v>101100</v>
      </c>
      <c r="P202" s="223"/>
    </row>
    <row r="203" spans="1:16" x14ac:dyDescent="0.35">
      <c r="A203" s="226" t="s">
        <v>474</v>
      </c>
      <c r="B203" s="220" t="s">
        <v>475</v>
      </c>
      <c r="C203" s="210">
        <f t="shared" si="8"/>
        <v>4581630.5300000012</v>
      </c>
      <c r="D203" s="211">
        <f t="shared" si="8"/>
        <v>0</v>
      </c>
      <c r="E203" s="212">
        <f t="shared" si="7"/>
        <v>4581630.5300000012</v>
      </c>
      <c r="F203" s="211"/>
      <c r="G203" s="221"/>
      <c r="H203" s="221"/>
      <c r="I203" s="216"/>
      <c r="J203" s="216"/>
      <c r="K203" s="221"/>
      <c r="L203" s="221"/>
      <c r="M203" s="216"/>
      <c r="N203" s="216"/>
      <c r="O203" s="222">
        <v>4581630.5300000012</v>
      </c>
      <c r="P203" s="223"/>
    </row>
    <row r="204" spans="1:16" x14ac:dyDescent="0.35">
      <c r="A204" s="226" t="s">
        <v>476</v>
      </c>
      <c r="B204" s="220" t="s">
        <v>477</v>
      </c>
      <c r="C204" s="210">
        <f t="shared" si="8"/>
        <v>1068356.58</v>
      </c>
      <c r="D204" s="211">
        <f t="shared" si="8"/>
        <v>0</v>
      </c>
      <c r="E204" s="212">
        <f t="shared" si="7"/>
        <v>1068356.58</v>
      </c>
      <c r="F204" s="211"/>
      <c r="G204" s="221"/>
      <c r="H204" s="221"/>
      <c r="I204" s="216"/>
      <c r="J204" s="216"/>
      <c r="K204" s="221"/>
      <c r="L204" s="221"/>
      <c r="M204" s="216"/>
      <c r="N204" s="216"/>
      <c r="O204" s="222">
        <v>1068356.58</v>
      </c>
      <c r="P204" s="223"/>
    </row>
    <row r="205" spans="1:16" x14ac:dyDescent="0.35">
      <c r="A205" s="226" t="s">
        <v>478</v>
      </c>
      <c r="B205" s="220" t="s">
        <v>479</v>
      </c>
      <c r="C205" s="210">
        <f t="shared" si="8"/>
        <v>2305216.6100000003</v>
      </c>
      <c r="D205" s="211">
        <f t="shared" si="8"/>
        <v>0</v>
      </c>
      <c r="E205" s="212">
        <f t="shared" si="7"/>
        <v>2305216.6100000003</v>
      </c>
      <c r="F205" s="211"/>
      <c r="G205" s="221"/>
      <c r="H205" s="221"/>
      <c r="I205" s="216"/>
      <c r="J205" s="216"/>
      <c r="K205" s="221"/>
      <c r="L205" s="221"/>
      <c r="M205" s="216"/>
      <c r="N205" s="216"/>
      <c r="O205" s="222">
        <v>2305216.6100000003</v>
      </c>
      <c r="P205" s="223"/>
    </row>
    <row r="206" spans="1:16" x14ac:dyDescent="0.35">
      <c r="A206" s="226" t="s">
        <v>480</v>
      </c>
      <c r="B206" s="220" t="s">
        <v>481</v>
      </c>
      <c r="C206" s="210">
        <f t="shared" si="8"/>
        <v>1815894.72</v>
      </c>
      <c r="D206" s="211">
        <f t="shared" si="8"/>
        <v>0</v>
      </c>
      <c r="E206" s="212">
        <f t="shared" si="7"/>
        <v>1815894.72</v>
      </c>
      <c r="F206" s="211">
        <v>0</v>
      </c>
      <c r="G206" s="221"/>
      <c r="H206" s="221"/>
      <c r="I206" s="216"/>
      <c r="J206" s="216"/>
      <c r="K206" s="221"/>
      <c r="L206" s="221"/>
      <c r="M206" s="216"/>
      <c r="N206" s="216"/>
      <c r="O206" s="222">
        <v>1815894.72</v>
      </c>
      <c r="P206" s="223">
        <v>0</v>
      </c>
    </row>
    <row r="207" spans="1:16" x14ac:dyDescent="0.35">
      <c r="A207" s="226" t="s">
        <v>482</v>
      </c>
      <c r="B207" s="220" t="s">
        <v>483</v>
      </c>
      <c r="C207" s="210">
        <f t="shared" si="8"/>
        <v>749000</v>
      </c>
      <c r="D207" s="211">
        <f t="shared" si="8"/>
        <v>0</v>
      </c>
      <c r="E207" s="212">
        <f t="shared" si="7"/>
        <v>749000</v>
      </c>
      <c r="F207" s="211"/>
      <c r="G207" s="221"/>
      <c r="H207" s="221"/>
      <c r="I207" s="216"/>
      <c r="J207" s="216"/>
      <c r="K207" s="221"/>
      <c r="L207" s="221"/>
      <c r="M207" s="216"/>
      <c r="N207" s="216"/>
      <c r="O207" s="222">
        <v>749000</v>
      </c>
      <c r="P207" s="223"/>
    </row>
    <row r="208" spans="1:16" x14ac:dyDescent="0.35">
      <c r="A208" s="219" t="s">
        <v>484</v>
      </c>
      <c r="B208" s="220" t="s">
        <v>485</v>
      </c>
      <c r="C208" s="210">
        <f t="shared" si="8"/>
        <v>431568.22</v>
      </c>
      <c r="D208" s="211">
        <f t="shared" si="8"/>
        <v>0</v>
      </c>
      <c r="E208" s="212">
        <f t="shared" si="7"/>
        <v>431568.22</v>
      </c>
      <c r="F208" s="211"/>
      <c r="G208" s="221"/>
      <c r="H208" s="221"/>
      <c r="I208" s="216"/>
      <c r="J208" s="216"/>
      <c r="K208" s="221"/>
      <c r="L208" s="221"/>
      <c r="M208" s="216"/>
      <c r="N208" s="216"/>
      <c r="O208" s="222">
        <v>431568.22</v>
      </c>
      <c r="P208" s="223"/>
    </row>
    <row r="209" spans="1:16" x14ac:dyDescent="0.35">
      <c r="A209" s="226" t="s">
        <v>486</v>
      </c>
      <c r="B209" s="220" t="s">
        <v>487</v>
      </c>
      <c r="C209" s="210">
        <f t="shared" si="8"/>
        <v>0</v>
      </c>
      <c r="D209" s="211">
        <f t="shared" si="8"/>
        <v>0</v>
      </c>
      <c r="E209" s="212">
        <f t="shared" si="7"/>
        <v>0</v>
      </c>
      <c r="F209" s="211"/>
      <c r="G209" s="221"/>
      <c r="H209" s="221"/>
      <c r="I209" s="216"/>
      <c r="J209" s="216"/>
      <c r="K209" s="221"/>
      <c r="L209" s="221"/>
      <c r="M209" s="216"/>
      <c r="N209" s="216"/>
      <c r="O209" s="222">
        <v>0</v>
      </c>
      <c r="P209" s="223"/>
    </row>
    <row r="210" spans="1:16" x14ac:dyDescent="0.35">
      <c r="A210" s="226" t="s">
        <v>488</v>
      </c>
      <c r="B210" s="220" t="s">
        <v>489</v>
      </c>
      <c r="C210" s="210">
        <f t="shared" si="8"/>
        <v>0</v>
      </c>
      <c r="D210" s="211">
        <f t="shared" si="8"/>
        <v>0</v>
      </c>
      <c r="E210" s="212">
        <f t="shared" si="7"/>
        <v>0</v>
      </c>
      <c r="F210" s="211"/>
      <c r="G210" s="221"/>
      <c r="H210" s="221"/>
      <c r="I210" s="216"/>
      <c r="J210" s="216"/>
      <c r="K210" s="221"/>
      <c r="L210" s="221"/>
      <c r="M210" s="216"/>
      <c r="N210" s="216"/>
      <c r="O210" s="222">
        <v>0</v>
      </c>
      <c r="P210" s="223"/>
    </row>
    <row r="211" spans="1:16" x14ac:dyDescent="0.35">
      <c r="A211" s="219" t="s">
        <v>490</v>
      </c>
      <c r="B211" s="220" t="s">
        <v>491</v>
      </c>
      <c r="C211" s="210">
        <f t="shared" si="8"/>
        <v>0</v>
      </c>
      <c r="D211" s="211">
        <f t="shared" si="8"/>
        <v>0</v>
      </c>
      <c r="E211" s="212">
        <f t="shared" si="7"/>
        <v>0</v>
      </c>
      <c r="F211" s="211"/>
      <c r="G211" s="221"/>
      <c r="H211" s="221"/>
      <c r="I211" s="216"/>
      <c r="J211" s="216"/>
      <c r="K211" s="221"/>
      <c r="L211" s="221"/>
      <c r="M211" s="216"/>
      <c r="N211" s="216"/>
      <c r="O211" s="222">
        <v>0</v>
      </c>
      <c r="P211" s="223"/>
    </row>
    <row r="212" spans="1:16" x14ac:dyDescent="0.35">
      <c r="A212" s="219" t="s">
        <v>492</v>
      </c>
      <c r="B212" s="220" t="s">
        <v>493</v>
      </c>
      <c r="C212" s="210">
        <f t="shared" si="8"/>
        <v>0</v>
      </c>
      <c r="D212" s="211">
        <f t="shared" si="8"/>
        <v>0</v>
      </c>
      <c r="E212" s="212">
        <f t="shared" si="7"/>
        <v>0</v>
      </c>
      <c r="F212" s="211"/>
      <c r="G212" s="221"/>
      <c r="H212" s="221"/>
      <c r="I212" s="216"/>
      <c r="J212" s="216"/>
      <c r="K212" s="221"/>
      <c r="L212" s="221"/>
      <c r="M212" s="216"/>
      <c r="N212" s="216"/>
      <c r="O212" s="222">
        <v>0</v>
      </c>
      <c r="P212" s="223"/>
    </row>
    <row r="213" spans="1:16" x14ac:dyDescent="0.35">
      <c r="A213" s="226" t="s">
        <v>494</v>
      </c>
      <c r="B213" s="220" t="s">
        <v>495</v>
      </c>
      <c r="C213" s="210">
        <f t="shared" si="8"/>
        <v>0</v>
      </c>
      <c r="D213" s="211">
        <f t="shared" si="8"/>
        <v>0</v>
      </c>
      <c r="E213" s="212">
        <f t="shared" si="7"/>
        <v>0</v>
      </c>
      <c r="F213" s="211"/>
      <c r="G213" s="221"/>
      <c r="H213" s="221"/>
      <c r="I213" s="216"/>
      <c r="J213" s="216"/>
      <c r="K213" s="221"/>
      <c r="L213" s="221"/>
      <c r="M213" s="216"/>
      <c r="N213" s="216"/>
      <c r="O213" s="222">
        <v>0</v>
      </c>
      <c r="P213" s="223"/>
    </row>
    <row r="214" spans="1:16" x14ac:dyDescent="0.35">
      <c r="A214" s="226" t="s">
        <v>496</v>
      </c>
      <c r="B214" s="220" t="s">
        <v>497</v>
      </c>
      <c r="C214" s="210">
        <f t="shared" si="8"/>
        <v>169500</v>
      </c>
      <c r="D214" s="211">
        <f t="shared" si="8"/>
        <v>0</v>
      </c>
      <c r="E214" s="212">
        <f t="shared" si="7"/>
        <v>169500</v>
      </c>
      <c r="F214" s="211"/>
      <c r="G214" s="221"/>
      <c r="H214" s="221"/>
      <c r="I214" s="216"/>
      <c r="J214" s="216"/>
      <c r="K214" s="221"/>
      <c r="L214" s="221"/>
      <c r="M214" s="216"/>
      <c r="N214" s="216"/>
      <c r="O214" s="222">
        <v>169500</v>
      </c>
      <c r="P214" s="223"/>
    </row>
    <row r="215" spans="1:16" x14ac:dyDescent="0.35">
      <c r="A215" s="226" t="s">
        <v>498</v>
      </c>
      <c r="B215" s="220" t="s">
        <v>499</v>
      </c>
      <c r="C215" s="210">
        <f t="shared" si="8"/>
        <v>1963697.8</v>
      </c>
      <c r="D215" s="211">
        <f t="shared" si="8"/>
        <v>0</v>
      </c>
      <c r="E215" s="212">
        <f t="shared" si="7"/>
        <v>1963697.8</v>
      </c>
      <c r="F215" s="211"/>
      <c r="G215" s="221"/>
      <c r="H215" s="221"/>
      <c r="I215" s="216"/>
      <c r="J215" s="216"/>
      <c r="K215" s="221"/>
      <c r="L215" s="221"/>
      <c r="M215" s="216"/>
      <c r="N215" s="216"/>
      <c r="O215" s="222">
        <v>1963697.8</v>
      </c>
      <c r="P215" s="223"/>
    </row>
    <row r="216" spans="1:16" x14ac:dyDescent="0.35">
      <c r="A216" s="226" t="s">
        <v>500</v>
      </c>
      <c r="B216" s="220" t="s">
        <v>501</v>
      </c>
      <c r="C216" s="210">
        <f t="shared" si="8"/>
        <v>56493</v>
      </c>
      <c r="D216" s="211">
        <f t="shared" si="8"/>
        <v>0</v>
      </c>
      <c r="E216" s="212">
        <f t="shared" si="7"/>
        <v>56493</v>
      </c>
      <c r="F216" s="211"/>
      <c r="G216" s="221"/>
      <c r="H216" s="221"/>
      <c r="I216" s="216"/>
      <c r="J216" s="216"/>
      <c r="K216" s="221"/>
      <c r="L216" s="221"/>
      <c r="M216" s="216"/>
      <c r="N216" s="216"/>
      <c r="O216" s="222">
        <v>56493</v>
      </c>
      <c r="P216" s="223"/>
    </row>
    <row r="217" spans="1:16" x14ac:dyDescent="0.35">
      <c r="A217" s="226" t="s">
        <v>502</v>
      </c>
      <c r="B217" s="234" t="s">
        <v>503</v>
      </c>
      <c r="C217" s="210">
        <f t="shared" si="8"/>
        <v>132312.88</v>
      </c>
      <c r="D217" s="211">
        <f t="shared" si="8"/>
        <v>0</v>
      </c>
      <c r="E217" s="212">
        <f t="shared" si="7"/>
        <v>132312.88</v>
      </c>
      <c r="F217" s="211"/>
      <c r="G217" s="221"/>
      <c r="H217" s="221"/>
      <c r="I217" s="216"/>
      <c r="J217" s="216"/>
      <c r="K217" s="221"/>
      <c r="L217" s="221"/>
      <c r="M217" s="216"/>
      <c r="N217" s="216"/>
      <c r="O217" s="222">
        <v>132312.88</v>
      </c>
      <c r="P217" s="223"/>
    </row>
    <row r="218" spans="1:16" x14ac:dyDescent="0.35">
      <c r="A218" s="226" t="s">
        <v>504</v>
      </c>
      <c r="B218" s="234" t="s">
        <v>503</v>
      </c>
      <c r="C218" s="210">
        <f t="shared" si="8"/>
        <v>151350</v>
      </c>
      <c r="D218" s="211">
        <f t="shared" si="8"/>
        <v>0</v>
      </c>
      <c r="E218" s="212">
        <f t="shared" si="7"/>
        <v>151350</v>
      </c>
      <c r="F218" s="211"/>
      <c r="G218" s="221"/>
      <c r="H218" s="221"/>
      <c r="I218" s="216"/>
      <c r="J218" s="216"/>
      <c r="K218" s="221"/>
      <c r="L218" s="221"/>
      <c r="M218" s="216"/>
      <c r="N218" s="216"/>
      <c r="O218" s="222">
        <v>151350</v>
      </c>
      <c r="P218" s="223"/>
    </row>
    <row r="219" spans="1:16" x14ac:dyDescent="0.35">
      <c r="A219" s="226" t="s">
        <v>612</v>
      </c>
      <c r="B219" s="234" t="s">
        <v>503</v>
      </c>
      <c r="C219" s="210">
        <f t="shared" si="8"/>
        <v>185850</v>
      </c>
      <c r="D219" s="211">
        <f t="shared" si="8"/>
        <v>0</v>
      </c>
      <c r="E219" s="212">
        <f t="shared" si="7"/>
        <v>185850</v>
      </c>
      <c r="F219" s="211"/>
      <c r="G219" s="221"/>
      <c r="H219" s="221"/>
      <c r="I219" s="216"/>
      <c r="J219" s="216"/>
      <c r="K219" s="221"/>
      <c r="L219" s="221"/>
      <c r="M219" s="216"/>
      <c r="N219" s="216"/>
      <c r="O219" s="222">
        <v>185850</v>
      </c>
      <c r="P219" s="223"/>
    </row>
    <row r="220" spans="1:16" x14ac:dyDescent="0.35">
      <c r="A220" s="226" t="s">
        <v>505</v>
      </c>
      <c r="B220" s="234" t="s">
        <v>506</v>
      </c>
      <c r="C220" s="210">
        <f t="shared" si="8"/>
        <v>0</v>
      </c>
      <c r="D220" s="211">
        <f t="shared" si="8"/>
        <v>0</v>
      </c>
      <c r="E220" s="212">
        <f t="shared" si="7"/>
        <v>0</v>
      </c>
      <c r="F220" s="211"/>
      <c r="G220" s="221"/>
      <c r="H220" s="221"/>
      <c r="I220" s="216"/>
      <c r="J220" s="216"/>
      <c r="K220" s="221"/>
      <c r="L220" s="221"/>
      <c r="M220" s="216"/>
      <c r="N220" s="216"/>
      <c r="O220" s="222">
        <v>0</v>
      </c>
      <c r="P220" s="223"/>
    </row>
    <row r="221" spans="1:16" x14ac:dyDescent="0.35">
      <c r="A221" s="226" t="s">
        <v>507</v>
      </c>
      <c r="B221" s="234" t="s">
        <v>508</v>
      </c>
      <c r="C221" s="210">
        <f t="shared" si="8"/>
        <v>514950</v>
      </c>
      <c r="D221" s="211">
        <f t="shared" si="8"/>
        <v>0</v>
      </c>
      <c r="E221" s="212">
        <f t="shared" si="7"/>
        <v>514950</v>
      </c>
      <c r="F221" s="211"/>
      <c r="G221" s="221"/>
      <c r="H221" s="221"/>
      <c r="I221" s="216"/>
      <c r="J221" s="216"/>
      <c r="K221" s="221"/>
      <c r="L221" s="221"/>
      <c r="M221" s="216"/>
      <c r="N221" s="216"/>
      <c r="O221" s="222">
        <v>514950</v>
      </c>
      <c r="P221" s="223"/>
    </row>
    <row r="222" spans="1:16" x14ac:dyDescent="0.35">
      <c r="A222" s="226" t="s">
        <v>509</v>
      </c>
      <c r="B222" s="220" t="s">
        <v>510</v>
      </c>
      <c r="C222" s="210">
        <f t="shared" si="8"/>
        <v>1349883.9</v>
      </c>
      <c r="D222" s="211">
        <f t="shared" si="8"/>
        <v>0</v>
      </c>
      <c r="E222" s="212">
        <f t="shared" si="7"/>
        <v>1349883.9</v>
      </c>
      <c r="F222" s="211"/>
      <c r="G222" s="221"/>
      <c r="H222" s="221"/>
      <c r="I222" s="216"/>
      <c r="J222" s="216"/>
      <c r="K222" s="221"/>
      <c r="L222" s="221"/>
      <c r="M222" s="216"/>
      <c r="N222" s="216"/>
      <c r="O222" s="222">
        <v>1349883.9</v>
      </c>
      <c r="P222" s="223"/>
    </row>
    <row r="223" spans="1:16" x14ac:dyDescent="0.35">
      <c r="A223" s="226" t="s">
        <v>511</v>
      </c>
      <c r="B223" s="220" t="s">
        <v>512</v>
      </c>
      <c r="C223" s="210">
        <f t="shared" si="8"/>
        <v>2854848.48</v>
      </c>
      <c r="D223" s="211">
        <f t="shared" si="8"/>
        <v>0</v>
      </c>
      <c r="E223" s="212">
        <f t="shared" si="7"/>
        <v>2854848.48</v>
      </c>
      <c r="F223" s="211">
        <v>0</v>
      </c>
      <c r="G223" s="221"/>
      <c r="H223" s="221"/>
      <c r="I223" s="216"/>
      <c r="J223" s="216"/>
      <c r="K223" s="221"/>
      <c r="L223" s="221"/>
      <c r="M223" s="216"/>
      <c r="N223" s="216"/>
      <c r="O223" s="222">
        <v>2854848.48</v>
      </c>
      <c r="P223" s="223">
        <v>0</v>
      </c>
    </row>
    <row r="224" spans="1:16" x14ac:dyDescent="0.35">
      <c r="A224" s="226" t="s">
        <v>513</v>
      </c>
      <c r="B224" s="220" t="s">
        <v>514</v>
      </c>
      <c r="C224" s="210">
        <f t="shared" si="8"/>
        <v>52950</v>
      </c>
      <c r="D224" s="211">
        <f t="shared" si="8"/>
        <v>0</v>
      </c>
      <c r="E224" s="212">
        <f t="shared" si="7"/>
        <v>52950</v>
      </c>
      <c r="F224" s="211"/>
      <c r="G224" s="221"/>
      <c r="H224" s="221"/>
      <c r="I224" s="216"/>
      <c r="J224" s="216"/>
      <c r="K224" s="221"/>
      <c r="L224" s="221"/>
      <c r="M224" s="216"/>
      <c r="N224" s="216"/>
      <c r="O224" s="222">
        <v>52950</v>
      </c>
      <c r="P224" s="223"/>
    </row>
    <row r="225" spans="1:16" x14ac:dyDescent="0.35">
      <c r="A225" s="226" t="s">
        <v>515</v>
      </c>
      <c r="B225" s="220" t="s">
        <v>516</v>
      </c>
      <c r="C225" s="210">
        <f t="shared" si="8"/>
        <v>567871.31000000006</v>
      </c>
      <c r="D225" s="211">
        <f t="shared" si="8"/>
        <v>0</v>
      </c>
      <c r="E225" s="212">
        <f t="shared" si="7"/>
        <v>567871.31000000006</v>
      </c>
      <c r="F225" s="211"/>
      <c r="G225" s="221"/>
      <c r="H225" s="221"/>
      <c r="I225" s="216"/>
      <c r="J225" s="216"/>
      <c r="K225" s="221"/>
      <c r="L225" s="221"/>
      <c r="M225" s="216"/>
      <c r="N225" s="216"/>
      <c r="O225" s="222">
        <v>567871.31000000006</v>
      </c>
      <c r="P225" s="223"/>
    </row>
    <row r="226" spans="1:16" x14ac:dyDescent="0.35">
      <c r="A226" s="226" t="s">
        <v>517</v>
      </c>
      <c r="B226" s="220" t="s">
        <v>518</v>
      </c>
      <c r="C226" s="210">
        <f t="shared" si="8"/>
        <v>0</v>
      </c>
      <c r="D226" s="211">
        <f t="shared" si="8"/>
        <v>0</v>
      </c>
      <c r="E226" s="212">
        <f t="shared" si="7"/>
        <v>0</v>
      </c>
      <c r="F226" s="211"/>
      <c r="G226" s="221"/>
      <c r="H226" s="221"/>
      <c r="I226" s="216"/>
      <c r="J226" s="216"/>
      <c r="K226" s="221"/>
      <c r="L226" s="221"/>
      <c r="M226" s="216"/>
      <c r="N226" s="216"/>
      <c r="O226" s="222">
        <v>0</v>
      </c>
      <c r="P226" s="223"/>
    </row>
    <row r="227" spans="1:16" x14ac:dyDescent="0.35">
      <c r="A227" s="226" t="s">
        <v>519</v>
      </c>
      <c r="B227" s="220" t="s">
        <v>520</v>
      </c>
      <c r="C227" s="210">
        <f t="shared" si="8"/>
        <v>6000</v>
      </c>
      <c r="D227" s="211">
        <f t="shared" si="8"/>
        <v>0</v>
      </c>
      <c r="E227" s="212">
        <f t="shared" si="7"/>
        <v>6000</v>
      </c>
      <c r="F227" s="211"/>
      <c r="G227" s="221"/>
      <c r="H227" s="221"/>
      <c r="I227" s="216"/>
      <c r="J227" s="216"/>
      <c r="K227" s="221"/>
      <c r="L227" s="221"/>
      <c r="M227" s="216"/>
      <c r="N227" s="216"/>
      <c r="O227" s="222">
        <v>6000</v>
      </c>
      <c r="P227" s="223"/>
    </row>
    <row r="228" spans="1:16" x14ac:dyDescent="0.35">
      <c r="A228" s="226" t="s">
        <v>521</v>
      </c>
      <c r="B228" s="220" t="s">
        <v>522</v>
      </c>
      <c r="C228" s="210">
        <f t="shared" si="8"/>
        <v>1366750</v>
      </c>
      <c r="D228" s="211">
        <f t="shared" si="8"/>
        <v>0</v>
      </c>
      <c r="E228" s="212">
        <f t="shared" si="7"/>
        <v>1366750</v>
      </c>
      <c r="F228" s="211"/>
      <c r="G228" s="221"/>
      <c r="H228" s="221"/>
      <c r="I228" s="216"/>
      <c r="J228" s="216"/>
      <c r="K228" s="221"/>
      <c r="L228" s="221"/>
      <c r="M228" s="216"/>
      <c r="N228" s="216"/>
      <c r="O228" s="222">
        <v>1366750</v>
      </c>
      <c r="P228" s="223"/>
    </row>
    <row r="229" spans="1:16" x14ac:dyDescent="0.35">
      <c r="A229" s="226" t="s">
        <v>523</v>
      </c>
      <c r="B229" s="220" t="s">
        <v>524</v>
      </c>
      <c r="C229" s="210">
        <f t="shared" si="8"/>
        <v>0</v>
      </c>
      <c r="D229" s="211">
        <f t="shared" si="8"/>
        <v>0</v>
      </c>
      <c r="E229" s="212">
        <f t="shared" si="7"/>
        <v>0</v>
      </c>
      <c r="F229" s="211"/>
      <c r="G229" s="221"/>
      <c r="H229" s="221"/>
      <c r="I229" s="216"/>
      <c r="J229" s="216"/>
      <c r="K229" s="221"/>
      <c r="L229" s="221"/>
      <c r="M229" s="216"/>
      <c r="N229" s="216"/>
      <c r="O229" s="222">
        <v>0</v>
      </c>
      <c r="P229" s="223"/>
    </row>
    <row r="230" spans="1:16" x14ac:dyDescent="0.35">
      <c r="A230" s="226" t="s">
        <v>525</v>
      </c>
      <c r="B230" s="220" t="s">
        <v>526</v>
      </c>
      <c r="C230" s="210">
        <f t="shared" si="8"/>
        <v>0</v>
      </c>
      <c r="D230" s="211">
        <f t="shared" si="8"/>
        <v>0</v>
      </c>
      <c r="E230" s="212">
        <f t="shared" si="7"/>
        <v>0</v>
      </c>
      <c r="F230" s="211"/>
      <c r="G230" s="221"/>
      <c r="H230" s="221"/>
      <c r="I230" s="216"/>
      <c r="J230" s="216"/>
      <c r="K230" s="221"/>
      <c r="L230" s="221"/>
      <c r="M230" s="216"/>
      <c r="N230" s="216"/>
      <c r="O230" s="222">
        <v>0</v>
      </c>
      <c r="P230" s="223"/>
    </row>
    <row r="231" spans="1:16" x14ac:dyDescent="0.35">
      <c r="A231" s="226" t="s">
        <v>527</v>
      </c>
      <c r="B231" s="220" t="s">
        <v>528</v>
      </c>
      <c r="C231" s="210">
        <f t="shared" si="8"/>
        <v>102750</v>
      </c>
      <c r="D231" s="211">
        <f t="shared" si="8"/>
        <v>0</v>
      </c>
      <c r="E231" s="212">
        <f t="shared" si="7"/>
        <v>102750</v>
      </c>
      <c r="F231" s="211"/>
      <c r="G231" s="221"/>
      <c r="H231" s="221"/>
      <c r="I231" s="216"/>
      <c r="J231" s="216"/>
      <c r="K231" s="221"/>
      <c r="L231" s="221"/>
      <c r="M231" s="216"/>
      <c r="N231" s="216"/>
      <c r="O231" s="222">
        <v>102750</v>
      </c>
      <c r="P231" s="223"/>
    </row>
    <row r="232" spans="1:16" x14ac:dyDescent="0.35">
      <c r="A232" s="226" t="s">
        <v>529</v>
      </c>
      <c r="B232" s="220" t="s">
        <v>530</v>
      </c>
      <c r="C232" s="210">
        <f t="shared" si="8"/>
        <v>0</v>
      </c>
      <c r="D232" s="211">
        <f t="shared" si="8"/>
        <v>0</v>
      </c>
      <c r="E232" s="212">
        <f t="shared" si="7"/>
        <v>0</v>
      </c>
      <c r="F232" s="211"/>
      <c r="G232" s="221"/>
      <c r="H232" s="221"/>
      <c r="I232" s="216"/>
      <c r="J232" s="216"/>
      <c r="K232" s="221"/>
      <c r="L232" s="221"/>
      <c r="M232" s="216"/>
      <c r="N232" s="216"/>
      <c r="O232" s="222">
        <v>0</v>
      </c>
      <c r="P232" s="223"/>
    </row>
    <row r="233" spans="1:16" x14ac:dyDescent="0.35">
      <c r="A233" s="226" t="s">
        <v>531</v>
      </c>
      <c r="B233" s="220" t="s">
        <v>532</v>
      </c>
      <c r="C233" s="210">
        <f t="shared" si="8"/>
        <v>502000</v>
      </c>
      <c r="D233" s="211">
        <f t="shared" si="8"/>
        <v>0</v>
      </c>
      <c r="E233" s="212">
        <f t="shared" si="7"/>
        <v>502000</v>
      </c>
      <c r="F233" s="211"/>
      <c r="G233" s="221"/>
      <c r="H233" s="221"/>
      <c r="I233" s="216"/>
      <c r="J233" s="216"/>
      <c r="K233" s="221"/>
      <c r="L233" s="221"/>
      <c r="M233" s="216"/>
      <c r="N233" s="216"/>
      <c r="O233" s="222">
        <v>502000</v>
      </c>
      <c r="P233" s="223"/>
    </row>
    <row r="234" spans="1:16" x14ac:dyDescent="0.35">
      <c r="A234" s="226" t="s">
        <v>533</v>
      </c>
      <c r="B234" s="220" t="s">
        <v>534</v>
      </c>
      <c r="C234" s="210">
        <f t="shared" si="8"/>
        <v>999187.80999999994</v>
      </c>
      <c r="D234" s="211">
        <f t="shared" si="8"/>
        <v>0</v>
      </c>
      <c r="E234" s="212">
        <f t="shared" si="7"/>
        <v>999187.80999999994</v>
      </c>
      <c r="F234" s="211"/>
      <c r="G234" s="221"/>
      <c r="H234" s="221"/>
      <c r="I234" s="216"/>
      <c r="J234" s="216"/>
      <c r="K234" s="221"/>
      <c r="L234" s="221"/>
      <c r="M234" s="216"/>
      <c r="N234" s="216"/>
      <c r="O234" s="222">
        <v>999187.80999999994</v>
      </c>
      <c r="P234" s="223"/>
    </row>
    <row r="235" spans="1:16" x14ac:dyDescent="0.35">
      <c r="A235" s="226" t="s">
        <v>535</v>
      </c>
      <c r="B235" s="220" t="s">
        <v>536</v>
      </c>
      <c r="C235" s="210">
        <f t="shared" si="8"/>
        <v>5405685.0800000001</v>
      </c>
      <c r="D235" s="211">
        <f t="shared" si="8"/>
        <v>0</v>
      </c>
      <c r="E235" s="212">
        <f t="shared" si="7"/>
        <v>5405685.0800000001</v>
      </c>
      <c r="F235" s="211"/>
      <c r="G235" s="221"/>
      <c r="H235" s="221"/>
      <c r="I235" s="216"/>
      <c r="J235" s="216"/>
      <c r="K235" s="221"/>
      <c r="L235" s="221"/>
      <c r="M235" s="216"/>
      <c r="N235" s="216"/>
      <c r="O235" s="222">
        <v>5405685.0800000001</v>
      </c>
      <c r="P235" s="223"/>
    </row>
    <row r="236" spans="1:16" x14ac:dyDescent="0.35">
      <c r="A236" s="226" t="s">
        <v>537</v>
      </c>
      <c r="B236" s="220" t="s">
        <v>538</v>
      </c>
      <c r="C236" s="210">
        <f t="shared" si="8"/>
        <v>0</v>
      </c>
      <c r="D236" s="211">
        <f t="shared" si="8"/>
        <v>0</v>
      </c>
      <c r="E236" s="212">
        <f t="shared" si="7"/>
        <v>0</v>
      </c>
      <c r="F236" s="211">
        <f>D236-C236</f>
        <v>0</v>
      </c>
      <c r="G236" s="221"/>
      <c r="H236" s="221"/>
      <c r="I236" s="216"/>
      <c r="J236" s="216"/>
      <c r="K236" s="221"/>
      <c r="L236" s="221"/>
      <c r="M236" s="216"/>
      <c r="N236" s="216"/>
      <c r="O236" s="222">
        <v>0</v>
      </c>
      <c r="P236" s="223">
        <v>0</v>
      </c>
    </row>
    <row r="237" spans="1:16" x14ac:dyDescent="0.35">
      <c r="A237" s="226" t="s">
        <v>539</v>
      </c>
      <c r="B237" s="220" t="s">
        <v>540</v>
      </c>
      <c r="C237" s="210">
        <f t="shared" si="8"/>
        <v>0</v>
      </c>
      <c r="D237" s="211">
        <f t="shared" si="8"/>
        <v>0</v>
      </c>
      <c r="E237" s="212">
        <f t="shared" si="7"/>
        <v>0</v>
      </c>
      <c r="F237" s="211"/>
      <c r="G237" s="221"/>
      <c r="H237" s="221"/>
      <c r="I237" s="216"/>
      <c r="J237" s="216"/>
      <c r="K237" s="221"/>
      <c r="L237" s="221"/>
      <c r="M237" s="216"/>
      <c r="N237" s="216"/>
      <c r="O237" s="222">
        <v>0</v>
      </c>
      <c r="P237" s="223"/>
    </row>
    <row r="238" spans="1:16" x14ac:dyDescent="0.35">
      <c r="A238" s="226" t="s">
        <v>541</v>
      </c>
      <c r="B238" s="220" t="s">
        <v>542</v>
      </c>
      <c r="C238" s="210">
        <f t="shared" si="8"/>
        <v>139439.24</v>
      </c>
      <c r="D238" s="211">
        <f t="shared" si="8"/>
        <v>0</v>
      </c>
      <c r="E238" s="212">
        <f t="shared" si="7"/>
        <v>139439.24</v>
      </c>
      <c r="F238" s="211"/>
      <c r="G238" s="221"/>
      <c r="H238" s="221"/>
      <c r="I238" s="216"/>
      <c r="J238" s="216"/>
      <c r="K238" s="221"/>
      <c r="L238" s="221"/>
      <c r="M238" s="216"/>
      <c r="N238" s="216"/>
      <c r="O238" s="222">
        <v>139439.24</v>
      </c>
      <c r="P238" s="223"/>
    </row>
    <row r="239" spans="1:16" x14ac:dyDescent="0.35">
      <c r="A239" s="226" t="s">
        <v>543</v>
      </c>
      <c r="B239" s="220" t="s">
        <v>544</v>
      </c>
      <c r="C239" s="210">
        <f t="shared" si="8"/>
        <v>873515.04</v>
      </c>
      <c r="D239" s="211">
        <f t="shared" si="8"/>
        <v>0</v>
      </c>
      <c r="E239" s="212">
        <f t="shared" si="7"/>
        <v>873515.04</v>
      </c>
      <c r="F239" s="211"/>
      <c r="G239" s="221"/>
      <c r="H239" s="221"/>
      <c r="I239" s="216"/>
      <c r="J239" s="216"/>
      <c r="K239" s="221"/>
      <c r="L239" s="221"/>
      <c r="M239" s="216"/>
      <c r="N239" s="216"/>
      <c r="O239" s="222">
        <v>873515.04</v>
      </c>
      <c r="P239" s="223"/>
    </row>
    <row r="240" spans="1:16" x14ac:dyDescent="0.35">
      <c r="A240" s="226" t="s">
        <v>545</v>
      </c>
      <c r="B240" s="220" t="s">
        <v>546</v>
      </c>
      <c r="C240" s="210">
        <f t="shared" si="8"/>
        <v>450010.52</v>
      </c>
      <c r="D240" s="211">
        <f t="shared" si="8"/>
        <v>0</v>
      </c>
      <c r="E240" s="212">
        <f t="shared" si="7"/>
        <v>450010.52</v>
      </c>
      <c r="F240" s="211"/>
      <c r="G240" s="221"/>
      <c r="H240" s="221"/>
      <c r="I240" s="216"/>
      <c r="J240" s="216"/>
      <c r="K240" s="221"/>
      <c r="L240" s="221"/>
      <c r="M240" s="216"/>
      <c r="N240" s="216"/>
      <c r="O240" s="222">
        <v>450010.52</v>
      </c>
      <c r="P240" s="223"/>
    </row>
    <row r="241" spans="1:16" ht="28" x14ac:dyDescent="0.35">
      <c r="A241" s="233" t="s">
        <v>547</v>
      </c>
      <c r="B241" s="235" t="s">
        <v>548</v>
      </c>
      <c r="C241" s="210">
        <f t="shared" si="8"/>
        <v>20400</v>
      </c>
      <c r="D241" s="211">
        <f t="shared" si="8"/>
        <v>0</v>
      </c>
      <c r="E241" s="212">
        <f t="shared" si="7"/>
        <v>20400</v>
      </c>
      <c r="F241" s="211"/>
      <c r="G241" s="221"/>
      <c r="H241" s="221"/>
      <c r="I241" s="216"/>
      <c r="J241" s="216"/>
      <c r="K241" s="221"/>
      <c r="L241" s="221"/>
      <c r="M241" s="216"/>
      <c r="N241" s="216"/>
      <c r="O241" s="222">
        <v>20400</v>
      </c>
      <c r="P241" s="223"/>
    </row>
    <row r="242" spans="1:16" x14ac:dyDescent="0.35">
      <c r="A242" s="236" t="s">
        <v>549</v>
      </c>
      <c r="B242" s="220" t="s">
        <v>550</v>
      </c>
      <c r="C242" s="210">
        <f t="shared" si="8"/>
        <v>267992.95</v>
      </c>
      <c r="D242" s="211">
        <f t="shared" si="8"/>
        <v>0</v>
      </c>
      <c r="E242" s="212">
        <f t="shared" si="7"/>
        <v>267992.95</v>
      </c>
      <c r="F242" s="211"/>
      <c r="G242" s="221"/>
      <c r="H242" s="221"/>
      <c r="I242" s="216"/>
      <c r="J242" s="216"/>
      <c r="K242" s="221"/>
      <c r="L242" s="221"/>
      <c r="M242" s="216"/>
      <c r="N242" s="216"/>
      <c r="O242" s="222">
        <v>267992.95</v>
      </c>
      <c r="P242" s="223"/>
    </row>
    <row r="243" spans="1:16" x14ac:dyDescent="0.35">
      <c r="A243" s="236" t="s">
        <v>551</v>
      </c>
      <c r="B243" s="220" t="s">
        <v>552</v>
      </c>
      <c r="C243" s="210">
        <f t="shared" si="8"/>
        <v>0</v>
      </c>
      <c r="D243" s="211">
        <f t="shared" si="8"/>
        <v>0</v>
      </c>
      <c r="E243" s="212">
        <f t="shared" si="7"/>
        <v>0</v>
      </c>
      <c r="F243" s="211"/>
      <c r="G243" s="221"/>
      <c r="H243" s="221"/>
      <c r="I243" s="216"/>
      <c r="J243" s="216"/>
      <c r="K243" s="221"/>
      <c r="L243" s="221"/>
      <c r="M243" s="216"/>
      <c r="N243" s="216"/>
      <c r="O243" s="222">
        <v>0</v>
      </c>
      <c r="P243" s="223"/>
    </row>
    <row r="244" spans="1:16" x14ac:dyDescent="0.35">
      <c r="A244" s="226" t="s">
        <v>553</v>
      </c>
      <c r="B244" s="220" t="s">
        <v>554</v>
      </c>
      <c r="C244" s="210">
        <f t="shared" si="8"/>
        <v>0</v>
      </c>
      <c r="D244" s="211">
        <f t="shared" si="8"/>
        <v>0</v>
      </c>
      <c r="E244" s="212">
        <f t="shared" si="7"/>
        <v>0</v>
      </c>
      <c r="F244" s="211"/>
      <c r="G244" s="221"/>
      <c r="H244" s="221"/>
      <c r="I244" s="216"/>
      <c r="J244" s="216"/>
      <c r="K244" s="221"/>
      <c r="L244" s="221"/>
      <c r="M244" s="216"/>
      <c r="N244" s="216"/>
      <c r="O244" s="222">
        <v>0</v>
      </c>
      <c r="P244" s="223"/>
    </row>
    <row r="245" spans="1:16" x14ac:dyDescent="0.35">
      <c r="A245" s="226" t="s">
        <v>555</v>
      </c>
      <c r="B245" s="220" t="s">
        <v>556</v>
      </c>
      <c r="C245" s="210">
        <f t="shared" si="8"/>
        <v>0</v>
      </c>
      <c r="D245" s="211">
        <f t="shared" si="8"/>
        <v>0</v>
      </c>
      <c r="E245" s="212">
        <f t="shared" si="7"/>
        <v>0</v>
      </c>
      <c r="F245" s="211"/>
      <c r="G245" s="221"/>
      <c r="H245" s="221"/>
      <c r="I245" s="216"/>
      <c r="J245" s="216"/>
      <c r="K245" s="221"/>
      <c r="L245" s="221"/>
      <c r="M245" s="216"/>
      <c r="N245" s="216"/>
      <c r="O245" s="222">
        <v>0</v>
      </c>
      <c r="P245" s="223"/>
    </row>
    <row r="246" spans="1:16" x14ac:dyDescent="0.35">
      <c r="A246" s="226" t="s">
        <v>557</v>
      </c>
      <c r="B246" s="220" t="s">
        <v>558</v>
      </c>
      <c r="C246" s="210">
        <f t="shared" si="8"/>
        <v>0</v>
      </c>
      <c r="D246" s="211">
        <f t="shared" si="8"/>
        <v>0</v>
      </c>
      <c r="E246" s="212">
        <f t="shared" si="7"/>
        <v>0</v>
      </c>
      <c r="F246" s="211"/>
      <c r="G246" s="221"/>
      <c r="H246" s="221"/>
      <c r="I246" s="216"/>
      <c r="J246" s="216"/>
      <c r="K246" s="221"/>
      <c r="L246" s="221"/>
      <c r="M246" s="216"/>
      <c r="N246" s="216"/>
      <c r="O246" s="222">
        <v>0</v>
      </c>
      <c r="P246" s="223"/>
    </row>
    <row r="247" spans="1:16" x14ac:dyDescent="0.35">
      <c r="A247" s="226" t="s">
        <v>559</v>
      </c>
      <c r="B247" s="220" t="s">
        <v>560</v>
      </c>
      <c r="C247" s="210">
        <f t="shared" si="8"/>
        <v>90000</v>
      </c>
      <c r="D247" s="211">
        <f t="shared" si="8"/>
        <v>0</v>
      </c>
      <c r="E247" s="212">
        <f t="shared" si="7"/>
        <v>90000</v>
      </c>
      <c r="F247" s="211"/>
      <c r="G247" s="221"/>
      <c r="H247" s="221"/>
      <c r="I247" s="216"/>
      <c r="J247" s="216"/>
      <c r="K247" s="221"/>
      <c r="L247" s="221"/>
      <c r="M247" s="216"/>
      <c r="N247" s="216"/>
      <c r="O247" s="222">
        <v>90000</v>
      </c>
      <c r="P247" s="223"/>
    </row>
    <row r="248" spans="1:16" x14ac:dyDescent="0.35">
      <c r="A248" s="226" t="s">
        <v>561</v>
      </c>
      <c r="B248" s="220" t="s">
        <v>562</v>
      </c>
      <c r="C248" s="210">
        <f t="shared" si="8"/>
        <v>0</v>
      </c>
      <c r="D248" s="211">
        <f t="shared" si="8"/>
        <v>0</v>
      </c>
      <c r="E248" s="212">
        <f t="shared" si="7"/>
        <v>0</v>
      </c>
      <c r="F248" s="211"/>
      <c r="G248" s="221"/>
      <c r="H248" s="221"/>
      <c r="I248" s="216"/>
      <c r="J248" s="216"/>
      <c r="K248" s="221"/>
      <c r="L248" s="221"/>
      <c r="M248" s="216"/>
      <c r="N248" s="216"/>
      <c r="O248" s="222">
        <v>0</v>
      </c>
      <c r="P248" s="223"/>
    </row>
    <row r="249" spans="1:16" x14ac:dyDescent="0.35">
      <c r="A249" s="226" t="s">
        <v>563</v>
      </c>
      <c r="B249" s="220" t="s">
        <v>564</v>
      </c>
      <c r="C249" s="210">
        <f t="shared" si="8"/>
        <v>1000</v>
      </c>
      <c r="D249" s="211">
        <f t="shared" si="8"/>
        <v>0</v>
      </c>
      <c r="E249" s="212">
        <f t="shared" si="7"/>
        <v>1000</v>
      </c>
      <c r="F249" s="211"/>
      <c r="G249" s="221"/>
      <c r="H249" s="221"/>
      <c r="I249" s="216"/>
      <c r="J249" s="216"/>
      <c r="K249" s="221"/>
      <c r="L249" s="221"/>
      <c r="M249" s="216"/>
      <c r="N249" s="216"/>
      <c r="O249" s="222">
        <v>1000</v>
      </c>
      <c r="P249" s="223"/>
    </row>
    <row r="250" spans="1:16" x14ac:dyDescent="0.35">
      <c r="A250" s="226" t="s">
        <v>565</v>
      </c>
      <c r="B250" s="220" t="s">
        <v>566</v>
      </c>
      <c r="C250" s="210">
        <f t="shared" si="8"/>
        <v>31637.5</v>
      </c>
      <c r="D250" s="211">
        <f t="shared" si="8"/>
        <v>0</v>
      </c>
      <c r="E250" s="212">
        <f t="shared" ref="E250:E270" si="9">C250-D250</f>
        <v>31637.5</v>
      </c>
      <c r="F250" s="211"/>
      <c r="G250" s="221"/>
      <c r="H250" s="221"/>
      <c r="I250" s="216"/>
      <c r="J250" s="216"/>
      <c r="K250" s="221"/>
      <c r="L250" s="221"/>
      <c r="M250" s="216"/>
      <c r="N250" s="216"/>
      <c r="O250" s="222">
        <v>31637.5</v>
      </c>
      <c r="P250" s="223"/>
    </row>
    <row r="251" spans="1:16" x14ac:dyDescent="0.35">
      <c r="A251" s="226" t="s">
        <v>567</v>
      </c>
      <c r="B251" s="220" t="s">
        <v>568</v>
      </c>
      <c r="C251" s="210">
        <f t="shared" si="8"/>
        <v>1432391.4499999997</v>
      </c>
      <c r="D251" s="211">
        <f t="shared" si="8"/>
        <v>0</v>
      </c>
      <c r="E251" s="212">
        <f t="shared" si="9"/>
        <v>1432391.4499999997</v>
      </c>
      <c r="F251" s="211"/>
      <c r="G251" s="221"/>
      <c r="H251" s="221"/>
      <c r="I251" s="216"/>
      <c r="J251" s="216"/>
      <c r="K251" s="221"/>
      <c r="L251" s="221"/>
      <c r="M251" s="216"/>
      <c r="N251" s="216"/>
      <c r="O251" s="222">
        <v>1432391.4499999997</v>
      </c>
      <c r="P251" s="223"/>
    </row>
    <row r="252" spans="1:16" x14ac:dyDescent="0.35">
      <c r="A252" s="226" t="s">
        <v>569</v>
      </c>
      <c r="B252" s="220" t="s">
        <v>570</v>
      </c>
      <c r="C252" s="210">
        <f t="shared" si="8"/>
        <v>53000</v>
      </c>
      <c r="D252" s="211">
        <f t="shared" si="8"/>
        <v>0</v>
      </c>
      <c r="E252" s="212">
        <f t="shared" si="9"/>
        <v>53000</v>
      </c>
      <c r="F252" s="211"/>
      <c r="G252" s="221"/>
      <c r="H252" s="221"/>
      <c r="I252" s="216"/>
      <c r="J252" s="216"/>
      <c r="K252" s="221"/>
      <c r="L252" s="221"/>
      <c r="M252" s="216"/>
      <c r="N252" s="216"/>
      <c r="O252" s="222">
        <v>53000</v>
      </c>
      <c r="P252" s="223"/>
    </row>
    <row r="253" spans="1:16" x14ac:dyDescent="0.35">
      <c r="A253" s="226" t="s">
        <v>571</v>
      </c>
      <c r="B253" s="220" t="s">
        <v>572</v>
      </c>
      <c r="C253" s="210">
        <f t="shared" si="8"/>
        <v>113931</v>
      </c>
      <c r="D253" s="211">
        <f t="shared" si="8"/>
        <v>0</v>
      </c>
      <c r="E253" s="212">
        <f t="shared" si="9"/>
        <v>113931</v>
      </c>
      <c r="F253" s="211"/>
      <c r="G253" s="221"/>
      <c r="H253" s="221"/>
      <c r="I253" s="216"/>
      <c r="J253" s="216"/>
      <c r="K253" s="221"/>
      <c r="L253" s="221"/>
      <c r="M253" s="216"/>
      <c r="N253" s="216"/>
      <c r="O253" s="222">
        <v>113931</v>
      </c>
      <c r="P253" s="223"/>
    </row>
    <row r="254" spans="1:16" x14ac:dyDescent="0.35">
      <c r="A254" s="226" t="s">
        <v>573</v>
      </c>
      <c r="B254" s="220" t="s">
        <v>574</v>
      </c>
      <c r="C254" s="210">
        <f t="shared" si="8"/>
        <v>1279469</v>
      </c>
      <c r="D254" s="211">
        <f t="shared" si="8"/>
        <v>0</v>
      </c>
      <c r="E254" s="212">
        <f t="shared" si="9"/>
        <v>1279469</v>
      </c>
      <c r="F254" s="211"/>
      <c r="G254" s="221"/>
      <c r="H254" s="221"/>
      <c r="I254" s="216"/>
      <c r="J254" s="216"/>
      <c r="K254" s="221"/>
      <c r="L254" s="221"/>
      <c r="M254" s="216"/>
      <c r="N254" s="216"/>
      <c r="O254" s="222">
        <v>1279469</v>
      </c>
      <c r="P254" s="223"/>
    </row>
    <row r="255" spans="1:16" x14ac:dyDescent="0.35">
      <c r="A255" s="226" t="s">
        <v>575</v>
      </c>
      <c r="B255" s="220" t="s">
        <v>576</v>
      </c>
      <c r="C255" s="210">
        <f t="shared" si="8"/>
        <v>0</v>
      </c>
      <c r="D255" s="211">
        <f t="shared" si="8"/>
        <v>0</v>
      </c>
      <c r="E255" s="212">
        <f t="shared" si="9"/>
        <v>0</v>
      </c>
      <c r="F255" s="211"/>
      <c r="G255" s="221"/>
      <c r="H255" s="221"/>
      <c r="I255" s="216"/>
      <c r="J255" s="216"/>
      <c r="K255" s="221"/>
      <c r="L255" s="221"/>
      <c r="M255" s="216"/>
      <c r="N255" s="216"/>
      <c r="O255" s="222">
        <v>0</v>
      </c>
      <c r="P255" s="223"/>
    </row>
    <row r="256" spans="1:16" x14ac:dyDescent="0.35">
      <c r="A256" s="226" t="s">
        <v>577</v>
      </c>
      <c r="B256" s="220" t="s">
        <v>578</v>
      </c>
      <c r="C256" s="210">
        <f t="shared" si="8"/>
        <v>439850</v>
      </c>
      <c r="D256" s="211">
        <f t="shared" si="8"/>
        <v>0</v>
      </c>
      <c r="E256" s="212">
        <f t="shared" si="9"/>
        <v>439850</v>
      </c>
      <c r="F256" s="211"/>
      <c r="G256" s="221"/>
      <c r="H256" s="221"/>
      <c r="I256" s="216"/>
      <c r="J256" s="216"/>
      <c r="K256" s="221"/>
      <c r="L256" s="221"/>
      <c r="M256" s="216"/>
      <c r="N256" s="216"/>
      <c r="O256" s="222">
        <v>439850</v>
      </c>
      <c r="P256" s="223"/>
    </row>
    <row r="257" spans="1:16" x14ac:dyDescent="0.35">
      <c r="A257" s="226" t="s">
        <v>579</v>
      </c>
      <c r="B257" s="220" t="s">
        <v>580</v>
      </c>
      <c r="C257" s="210">
        <f t="shared" si="8"/>
        <v>99100</v>
      </c>
      <c r="D257" s="211">
        <f t="shared" si="8"/>
        <v>0</v>
      </c>
      <c r="E257" s="212">
        <f t="shared" si="9"/>
        <v>99100</v>
      </c>
      <c r="F257" s="211"/>
      <c r="G257" s="221"/>
      <c r="H257" s="221"/>
      <c r="I257" s="216"/>
      <c r="J257" s="216"/>
      <c r="K257" s="221"/>
      <c r="L257" s="221"/>
      <c r="M257" s="216"/>
      <c r="N257" s="216"/>
      <c r="O257" s="222">
        <v>99100</v>
      </c>
      <c r="P257" s="223"/>
    </row>
    <row r="258" spans="1:16" x14ac:dyDescent="0.35">
      <c r="A258" s="226" t="s">
        <v>581</v>
      </c>
      <c r="B258" s="220" t="s">
        <v>582</v>
      </c>
      <c r="C258" s="210">
        <f t="shared" si="8"/>
        <v>2441445</v>
      </c>
      <c r="D258" s="211">
        <f t="shared" si="8"/>
        <v>0</v>
      </c>
      <c r="E258" s="212">
        <f t="shared" si="9"/>
        <v>2441445</v>
      </c>
      <c r="F258" s="211"/>
      <c r="G258" s="221"/>
      <c r="H258" s="221"/>
      <c r="I258" s="216"/>
      <c r="J258" s="216"/>
      <c r="K258" s="221"/>
      <c r="L258" s="221"/>
      <c r="M258" s="216"/>
      <c r="N258" s="216"/>
      <c r="O258" s="222">
        <v>2441445</v>
      </c>
      <c r="P258" s="223"/>
    </row>
    <row r="259" spans="1:16" x14ac:dyDescent="0.35">
      <c r="A259" s="226" t="s">
        <v>583</v>
      </c>
      <c r="B259" s="220" t="s">
        <v>584</v>
      </c>
      <c r="C259" s="210">
        <f t="shared" si="8"/>
        <v>4783559.1199999992</v>
      </c>
      <c r="D259" s="211">
        <f t="shared" si="8"/>
        <v>0</v>
      </c>
      <c r="E259" s="212">
        <f t="shared" si="9"/>
        <v>4783559.1199999992</v>
      </c>
      <c r="F259" s="211"/>
      <c r="G259" s="221"/>
      <c r="H259" s="221"/>
      <c r="I259" s="216"/>
      <c r="J259" s="216"/>
      <c r="K259" s="221"/>
      <c r="L259" s="221"/>
      <c r="M259" s="216"/>
      <c r="N259" s="216"/>
      <c r="O259" s="222">
        <v>4783559.1199999992</v>
      </c>
      <c r="P259" s="223"/>
    </row>
    <row r="260" spans="1:16" x14ac:dyDescent="0.35">
      <c r="A260" s="226" t="s">
        <v>585</v>
      </c>
      <c r="B260" s="220" t="s">
        <v>586</v>
      </c>
      <c r="C260" s="210">
        <f t="shared" si="8"/>
        <v>12000</v>
      </c>
      <c r="D260" s="211">
        <f t="shared" si="8"/>
        <v>0</v>
      </c>
      <c r="E260" s="212">
        <f t="shared" si="9"/>
        <v>12000</v>
      </c>
      <c r="F260" s="211">
        <v>0</v>
      </c>
      <c r="G260" s="221"/>
      <c r="H260" s="221"/>
      <c r="I260" s="216"/>
      <c r="J260" s="216"/>
      <c r="K260" s="221"/>
      <c r="L260" s="221"/>
      <c r="M260" s="216"/>
      <c r="N260" s="216"/>
      <c r="O260" s="222">
        <v>12000</v>
      </c>
      <c r="P260" s="223">
        <v>0</v>
      </c>
    </row>
    <row r="261" spans="1:16" x14ac:dyDescent="0.35">
      <c r="A261" s="226" t="s">
        <v>587</v>
      </c>
      <c r="B261" s="220" t="s">
        <v>588</v>
      </c>
      <c r="C261" s="210">
        <f t="shared" si="8"/>
        <v>0</v>
      </c>
      <c r="D261" s="211">
        <f t="shared" si="8"/>
        <v>0</v>
      </c>
      <c r="E261" s="212">
        <f t="shared" si="9"/>
        <v>0</v>
      </c>
      <c r="F261" s="211"/>
      <c r="G261" s="221"/>
      <c r="H261" s="221"/>
      <c r="I261" s="216"/>
      <c r="J261" s="216"/>
      <c r="K261" s="221"/>
      <c r="L261" s="221"/>
      <c r="M261" s="216"/>
      <c r="N261" s="216"/>
      <c r="O261" s="222">
        <v>0</v>
      </c>
      <c r="P261" s="223"/>
    </row>
    <row r="262" spans="1:16" x14ac:dyDescent="0.35">
      <c r="A262" s="226" t="s">
        <v>589</v>
      </c>
      <c r="B262" s="220" t="s">
        <v>590</v>
      </c>
      <c r="C262" s="210">
        <f t="shared" si="8"/>
        <v>0</v>
      </c>
      <c r="D262" s="211">
        <f t="shared" si="8"/>
        <v>0</v>
      </c>
      <c r="E262" s="212">
        <f t="shared" si="9"/>
        <v>0</v>
      </c>
      <c r="F262" s="211">
        <v>0</v>
      </c>
      <c r="G262" s="221"/>
      <c r="H262" s="221"/>
      <c r="I262" s="216"/>
      <c r="J262" s="216"/>
      <c r="K262" s="221"/>
      <c r="L262" s="221"/>
      <c r="M262" s="216"/>
      <c r="N262" s="216"/>
      <c r="O262" s="222">
        <v>0</v>
      </c>
      <c r="P262" s="223">
        <v>0</v>
      </c>
    </row>
    <row r="263" spans="1:16" x14ac:dyDescent="0.35">
      <c r="A263" s="219" t="s">
        <v>591</v>
      </c>
      <c r="B263" s="224" t="s">
        <v>592</v>
      </c>
      <c r="C263" s="210">
        <f t="shared" si="8"/>
        <v>292012.7099999999</v>
      </c>
      <c r="D263" s="211">
        <f t="shared" si="8"/>
        <v>0</v>
      </c>
      <c r="E263" s="212">
        <f t="shared" si="9"/>
        <v>292012.7099999999</v>
      </c>
      <c r="F263" s="211"/>
      <c r="G263" s="221">
        <v>26546.61</v>
      </c>
      <c r="H263" s="221"/>
      <c r="I263" s="216"/>
      <c r="J263" s="216"/>
      <c r="K263" s="221"/>
      <c r="L263" s="221"/>
      <c r="M263" s="216"/>
      <c r="N263" s="216"/>
      <c r="O263" s="222">
        <v>265466.09999999992</v>
      </c>
      <c r="P263" s="223"/>
    </row>
    <row r="264" spans="1:16" x14ac:dyDescent="0.35">
      <c r="A264" s="219" t="s">
        <v>593</v>
      </c>
      <c r="B264" s="224" t="s">
        <v>594</v>
      </c>
      <c r="C264" s="210">
        <f t="shared" si="8"/>
        <v>10606595.880000001</v>
      </c>
      <c r="D264" s="211">
        <f t="shared" si="8"/>
        <v>0</v>
      </c>
      <c r="E264" s="212">
        <f t="shared" si="9"/>
        <v>10606595.880000001</v>
      </c>
      <c r="F264" s="211"/>
      <c r="G264" s="221">
        <v>961742.14</v>
      </c>
      <c r="H264" s="221"/>
      <c r="I264" s="216"/>
      <c r="J264" s="216"/>
      <c r="K264" s="221"/>
      <c r="L264" s="221"/>
      <c r="M264" s="216"/>
      <c r="N264" s="216"/>
      <c r="O264" s="222">
        <v>9644853.7400000002</v>
      </c>
      <c r="P264" s="223"/>
    </row>
    <row r="265" spans="1:16" x14ac:dyDescent="0.35">
      <c r="A265" s="219" t="s">
        <v>595</v>
      </c>
      <c r="B265" s="224" t="s">
        <v>596</v>
      </c>
      <c r="C265" s="210">
        <f t="shared" si="8"/>
        <v>6614628.1299999999</v>
      </c>
      <c r="D265" s="211">
        <f t="shared" si="8"/>
        <v>0</v>
      </c>
      <c r="E265" s="212">
        <f t="shared" si="9"/>
        <v>6614628.1299999999</v>
      </c>
      <c r="F265" s="211"/>
      <c r="G265" s="221">
        <v>601329.82999999996</v>
      </c>
      <c r="H265" s="221"/>
      <c r="I265" s="216"/>
      <c r="J265" s="216"/>
      <c r="K265" s="221"/>
      <c r="L265" s="221"/>
      <c r="M265" s="216"/>
      <c r="N265" s="216"/>
      <c r="O265" s="222">
        <v>6013298.2999999998</v>
      </c>
      <c r="P265" s="223"/>
    </row>
    <row r="266" spans="1:16" x14ac:dyDescent="0.35">
      <c r="A266" s="219" t="s">
        <v>597</v>
      </c>
      <c r="B266" s="224" t="s">
        <v>598</v>
      </c>
      <c r="C266" s="210">
        <f t="shared" ref="C266:D270" si="10">G266+O266+I266+K266+M266</f>
        <v>3220620.4800000004</v>
      </c>
      <c r="D266" s="211">
        <f t="shared" si="10"/>
        <v>0</v>
      </c>
      <c r="E266" s="212">
        <f t="shared" si="9"/>
        <v>3220620.4800000004</v>
      </c>
      <c r="F266" s="211"/>
      <c r="G266" s="221">
        <v>292783.68</v>
      </c>
      <c r="H266" s="221"/>
      <c r="I266" s="216"/>
      <c r="J266" s="216"/>
      <c r="K266" s="221"/>
      <c r="L266" s="221"/>
      <c r="M266" s="216"/>
      <c r="N266" s="216"/>
      <c r="O266" s="222">
        <v>2927836.8000000003</v>
      </c>
      <c r="P266" s="223"/>
    </row>
    <row r="267" spans="1:16" x14ac:dyDescent="0.35">
      <c r="A267" s="219" t="s">
        <v>599</v>
      </c>
      <c r="B267" s="224" t="s">
        <v>600</v>
      </c>
      <c r="C267" s="210">
        <f t="shared" si="10"/>
        <v>548754.14</v>
      </c>
      <c r="D267" s="211">
        <f t="shared" si="10"/>
        <v>0</v>
      </c>
      <c r="E267" s="212">
        <f t="shared" si="9"/>
        <v>548754.14</v>
      </c>
      <c r="F267" s="211"/>
      <c r="G267" s="221">
        <v>49886.74</v>
      </c>
      <c r="H267" s="221"/>
      <c r="I267" s="216"/>
      <c r="J267" s="216"/>
      <c r="K267" s="221"/>
      <c r="L267" s="221"/>
      <c r="M267" s="216"/>
      <c r="N267" s="216"/>
      <c r="O267" s="222">
        <v>498867.39999999997</v>
      </c>
      <c r="P267" s="223"/>
    </row>
    <row r="268" spans="1:16" x14ac:dyDescent="0.35">
      <c r="A268" s="219" t="s">
        <v>601</v>
      </c>
      <c r="B268" s="224" t="s">
        <v>602</v>
      </c>
      <c r="C268" s="210">
        <f t="shared" si="10"/>
        <v>242441.64999999997</v>
      </c>
      <c r="D268" s="211">
        <f t="shared" si="10"/>
        <v>0</v>
      </c>
      <c r="E268" s="212">
        <f t="shared" si="9"/>
        <v>242441.64999999997</v>
      </c>
      <c r="F268" s="211"/>
      <c r="G268" s="221">
        <v>22040.15</v>
      </c>
      <c r="H268" s="221"/>
      <c r="I268" s="216"/>
      <c r="J268" s="216"/>
      <c r="K268" s="221"/>
      <c r="L268" s="221"/>
      <c r="M268" s="216"/>
      <c r="N268" s="216"/>
      <c r="O268" s="222">
        <v>220401.49999999997</v>
      </c>
      <c r="P268" s="223"/>
    </row>
    <row r="269" spans="1:16" x14ac:dyDescent="0.35">
      <c r="A269" s="219" t="s">
        <v>603</v>
      </c>
      <c r="B269" s="224" t="s">
        <v>604</v>
      </c>
      <c r="C269" s="210">
        <f t="shared" si="10"/>
        <v>492873.81000000011</v>
      </c>
      <c r="D269" s="211">
        <f t="shared" si="10"/>
        <v>0</v>
      </c>
      <c r="E269" s="212">
        <f t="shared" si="9"/>
        <v>492873.81000000011</v>
      </c>
      <c r="F269" s="211"/>
      <c r="G269" s="221">
        <v>44806.71</v>
      </c>
      <c r="H269" s="221"/>
      <c r="I269" s="216"/>
      <c r="J269" s="216"/>
      <c r="K269" s="221"/>
      <c r="L269" s="221"/>
      <c r="M269" s="216"/>
      <c r="N269" s="216"/>
      <c r="O269" s="222">
        <v>448067.10000000009</v>
      </c>
      <c r="P269" s="223"/>
    </row>
    <row r="270" spans="1:16" ht="15" thickBot="1" x14ac:dyDescent="0.4">
      <c r="A270" s="219" t="s">
        <v>605</v>
      </c>
      <c r="B270" s="224" t="s">
        <v>606</v>
      </c>
      <c r="C270" s="210">
        <f>G270+O270+I270+K270+M270</f>
        <v>0</v>
      </c>
      <c r="D270" s="211">
        <f t="shared" si="10"/>
        <v>0</v>
      </c>
      <c r="E270" s="212">
        <f t="shared" si="9"/>
        <v>0</v>
      </c>
      <c r="F270" s="211">
        <f>D270-C270</f>
        <v>0</v>
      </c>
      <c r="G270" s="221"/>
      <c r="H270" s="221"/>
      <c r="I270" s="216"/>
      <c r="J270" s="216"/>
      <c r="K270" s="221"/>
      <c r="L270" s="221"/>
      <c r="M270" s="216"/>
      <c r="N270" s="216"/>
      <c r="O270" s="222">
        <v>0</v>
      </c>
      <c r="P270" s="223">
        <v>0</v>
      </c>
    </row>
    <row r="271" spans="1:16" ht="15" thickBot="1" x14ac:dyDescent="0.4">
      <c r="A271" s="237"/>
      <c r="B271" s="238"/>
      <c r="C271" s="239">
        <f t="shared" ref="C271:P271" si="11">SUM(C7:C270)</f>
        <v>1006833981.6300002</v>
      </c>
      <c r="D271" s="239">
        <f t="shared" si="11"/>
        <v>1006833981.6349999</v>
      </c>
      <c r="E271" s="240">
        <f t="shared" si="11"/>
        <v>1006833981.6300002</v>
      </c>
      <c r="F271" s="240">
        <f t="shared" si="11"/>
        <v>1006833981.6349999</v>
      </c>
      <c r="G271" s="241">
        <f t="shared" si="11"/>
        <v>1999135.8599999999</v>
      </c>
      <c r="H271" s="241">
        <f t="shared" si="11"/>
        <v>1999135.8599999994</v>
      </c>
      <c r="I271" s="242">
        <f t="shared" si="11"/>
        <v>0</v>
      </c>
      <c r="J271" s="242">
        <f t="shared" si="11"/>
        <v>0</v>
      </c>
      <c r="K271" s="243">
        <f t="shared" si="11"/>
        <v>0</v>
      </c>
      <c r="L271" s="243">
        <f t="shared" si="11"/>
        <v>0</v>
      </c>
      <c r="M271" s="242">
        <f t="shared" si="11"/>
        <v>0</v>
      </c>
      <c r="N271" s="242">
        <f t="shared" si="11"/>
        <v>0</v>
      </c>
      <c r="O271" s="244">
        <f t="shared" si="11"/>
        <v>1004834845.7700002</v>
      </c>
      <c r="P271" s="245">
        <f t="shared" si="11"/>
        <v>1004834845.7749999</v>
      </c>
    </row>
    <row r="272" spans="1:16" x14ac:dyDescent="0.35">
      <c r="A272" s="246"/>
      <c r="B272" s="246"/>
      <c r="C272" s="247"/>
      <c r="D272" s="247">
        <f>C271-D271</f>
        <v>-4.9996376037597656E-3</v>
      </c>
      <c r="E272" s="247"/>
      <c r="F272" s="248">
        <f>E271-F271</f>
        <v>-4.9996376037597656E-3</v>
      </c>
      <c r="G272" s="249"/>
      <c r="H272" s="249">
        <f>G271-H271</f>
        <v>0</v>
      </c>
      <c r="I272" s="249"/>
      <c r="J272" s="249">
        <f>I271-J271</f>
        <v>0</v>
      </c>
      <c r="K272" s="249"/>
      <c r="L272" s="249">
        <f>K271-L271</f>
        <v>0</v>
      </c>
      <c r="M272" s="249"/>
      <c r="N272" s="249">
        <f>M271-N271</f>
        <v>0</v>
      </c>
      <c r="O272" s="249"/>
      <c r="P272" s="250">
        <f>O271-P271</f>
        <v>-4.9996376037597656E-3</v>
      </c>
    </row>
    <row r="273" spans="5:16" x14ac:dyDescent="0.35">
      <c r="G273" s="202"/>
      <c r="H273" s="251"/>
    </row>
    <row r="274" spans="5:16" x14ac:dyDescent="0.35">
      <c r="G274" s="203"/>
      <c r="J274" s="204">
        <f>J271+J272</f>
        <v>0</v>
      </c>
      <c r="P274" s="204"/>
    </row>
    <row r="275" spans="5:16" x14ac:dyDescent="0.35">
      <c r="E275" s="203"/>
      <c r="G275" s="203"/>
      <c r="P275" s="252"/>
    </row>
    <row r="276" spans="5:16" x14ac:dyDescent="0.35">
      <c r="P276" s="204"/>
    </row>
    <row r="278" spans="5:16" x14ac:dyDescent="0.35">
      <c r="E278" s="202"/>
      <c r="F278" s="202"/>
    </row>
  </sheetData>
  <mergeCells count="9">
    <mergeCell ref="K5:L5"/>
    <mergeCell ref="M5:N5"/>
    <mergeCell ref="O5:P5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JEV</vt:lpstr>
      <vt:lpstr>GL</vt:lpstr>
      <vt:lpstr>CRJ</vt:lpstr>
      <vt:lpstr>CKDJ</vt:lpstr>
      <vt:lpstr>CDJ</vt:lpstr>
      <vt:lpstr>TB</vt:lpstr>
      <vt:lpstr>EXAMPLE TB 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KHACEY</dc:creator>
  <cp:lastModifiedBy>vincent sace</cp:lastModifiedBy>
  <dcterms:created xsi:type="dcterms:W3CDTF">2026-08-12T03:02:02Z</dcterms:created>
  <dcterms:modified xsi:type="dcterms:W3CDTF">2026-08-12T09:02:31Z</dcterms:modified>
</cp:coreProperties>
</file>